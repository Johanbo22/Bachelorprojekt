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docs.live.net/90857cad236869d5/Skrivebord_LapTop/Bachelorprojekt/Data_Raw/"/>
    </mc:Choice>
  </mc:AlternateContent>
  <xr:revisionPtr revIDLastSave="327" documentId="8_{43FB1346-6D8D-47F3-86D8-EE7E8757EF49}" xr6:coauthVersionLast="47" xr6:coauthVersionMax="47" xr10:uidLastSave="{654AF767-9A31-4E45-AE89-5ABA67D34757}"/>
  <bookViews>
    <workbookView xWindow="28680" yWindow="-120" windowWidth="29040" windowHeight="17640" xr2:uid="{04D5FB4E-C98C-4B0A-9F98-A00F7E9E55FC}"/>
  </bookViews>
  <sheets>
    <sheet name="SSP" sheetId="1" r:id="rId1"/>
    <sheet name="ref" sheetId="2" r:id="rId2"/>
  </sheets>
  <definedNames>
    <definedName name="Slicer_Indikator">#N/A</definedName>
    <definedName name="Slicer_Indikator1">#N/A</definedName>
    <definedName name="Slicer_Indikator2">#N/A</definedName>
    <definedName name="Slicer_Indikator3">#N/A</definedName>
    <definedName name="Slicer_Udledningsscenarie">#N/A</definedName>
    <definedName name="Slicer_Udledningsscenarie1">#N/A</definedName>
    <definedName name="Slicer_Udledningsscenarie2">#N/A</definedName>
    <definedName name="Slicer_Udledningsscenarie3">#N/A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4:slicerCache r:id="rId6"/>
        <x14:slicerCache r:id="rId7"/>
        <x14:slicerCache r:id="rId8"/>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6" i="1" l="1"/>
  <c r="L77" i="1"/>
  <c r="L78" i="1"/>
  <c r="L79" i="1"/>
  <c r="L80" i="1"/>
  <c r="L81" i="1"/>
  <c r="L82" i="1"/>
  <c r="L83" i="1"/>
  <c r="L84" i="1"/>
  <c r="L85" i="1"/>
  <c r="L86" i="1"/>
  <c r="L87" i="1"/>
  <c r="L88" i="1"/>
  <c r="L89" i="1"/>
  <c r="L90" i="1"/>
  <c r="L91" i="1"/>
  <c r="L92" i="1"/>
  <c r="L93" i="1"/>
  <c r="L94" i="1"/>
  <c r="L95" i="1"/>
  <c r="L52" i="1"/>
  <c r="L53" i="1"/>
  <c r="L54" i="1"/>
  <c r="L55" i="1"/>
  <c r="L56" i="1"/>
  <c r="L57" i="1"/>
  <c r="L58" i="1"/>
  <c r="L59" i="1"/>
  <c r="L60" i="1"/>
  <c r="L61" i="1"/>
  <c r="L62" i="1"/>
  <c r="L63" i="1"/>
  <c r="L64" i="1"/>
  <c r="L65" i="1"/>
  <c r="L66" i="1"/>
  <c r="L67" i="1"/>
  <c r="L68" i="1"/>
  <c r="L69" i="1"/>
  <c r="L70" i="1"/>
  <c r="L71" i="1"/>
  <c r="L28" i="1"/>
  <c r="L29" i="1"/>
  <c r="L30" i="1"/>
  <c r="L31" i="1"/>
  <c r="L32" i="1"/>
  <c r="L33" i="1"/>
  <c r="L34" i="1"/>
  <c r="L35" i="1"/>
  <c r="L36" i="1"/>
  <c r="L37" i="1"/>
  <c r="L38" i="1"/>
  <c r="L39" i="1"/>
  <c r="L40" i="1"/>
  <c r="L41" i="1"/>
  <c r="L42" i="1"/>
  <c r="L43" i="1"/>
  <c r="L44" i="1"/>
  <c r="L45" i="1"/>
  <c r="L46" i="1"/>
  <c r="L47" i="1"/>
  <c r="L5" i="1"/>
  <c r="L6" i="1"/>
  <c r="L7" i="1"/>
  <c r="L8" i="1"/>
  <c r="L9" i="1"/>
  <c r="L10" i="1"/>
  <c r="L11" i="1"/>
  <c r="L12" i="1"/>
  <c r="L13" i="1"/>
  <c r="L14" i="1"/>
  <c r="L15" i="1"/>
  <c r="L16" i="1"/>
  <c r="L17" i="1"/>
  <c r="L18" i="1"/>
  <c r="L19" i="1"/>
  <c r="L20" i="1"/>
  <c r="L21" i="1"/>
  <c r="L22" i="1"/>
  <c r="L23" i="1"/>
  <c r="L24" i="1"/>
  <c r="M76" i="1"/>
  <c r="N76" i="1" s="1"/>
  <c r="O76" i="1" s="1"/>
  <c r="M77" i="1"/>
  <c r="N77" i="1" s="1"/>
  <c r="O77" i="1" s="1"/>
  <c r="M78" i="1"/>
  <c r="N78" i="1" s="1"/>
  <c r="O78" i="1" s="1"/>
  <c r="M79" i="1"/>
  <c r="N79" i="1" s="1"/>
  <c r="O79" i="1" s="1"/>
  <c r="M80" i="1"/>
  <c r="N80" i="1" s="1"/>
  <c r="O80" i="1" s="1"/>
  <c r="M81" i="1"/>
  <c r="N81" i="1" s="1"/>
  <c r="O81" i="1" s="1"/>
  <c r="M82" i="1"/>
  <c r="N82" i="1" s="1"/>
  <c r="O82" i="1" s="1"/>
  <c r="M83" i="1"/>
  <c r="N83" i="1" s="1"/>
  <c r="O83" i="1" s="1"/>
  <c r="M84" i="1"/>
  <c r="N84" i="1" s="1"/>
  <c r="O84" i="1" s="1"/>
  <c r="M85" i="1"/>
  <c r="N85" i="1" s="1"/>
  <c r="O85" i="1" s="1"/>
  <c r="M86" i="1"/>
  <c r="N86" i="1" s="1"/>
  <c r="O86" i="1" s="1"/>
  <c r="M87" i="1"/>
  <c r="N87" i="1" s="1"/>
  <c r="O87" i="1" s="1"/>
  <c r="M88" i="1"/>
  <c r="N88" i="1" s="1"/>
  <c r="O88" i="1" s="1"/>
  <c r="M89" i="1"/>
  <c r="N89" i="1" s="1"/>
  <c r="O89" i="1" s="1"/>
  <c r="M90" i="1"/>
  <c r="N90" i="1" s="1"/>
  <c r="O90" i="1" s="1"/>
  <c r="M91" i="1"/>
  <c r="N91" i="1" s="1"/>
  <c r="O91" i="1" s="1"/>
  <c r="M92" i="1"/>
  <c r="N92" i="1" s="1"/>
  <c r="O92" i="1" s="1"/>
  <c r="M93" i="1"/>
  <c r="N93" i="1" s="1"/>
  <c r="O93" i="1" s="1"/>
  <c r="M94" i="1"/>
  <c r="N94" i="1" s="1"/>
  <c r="O94" i="1" s="1"/>
  <c r="M95" i="1"/>
  <c r="N95" i="1" s="1"/>
  <c r="O95" i="1" s="1"/>
  <c r="M52" i="1"/>
  <c r="N52" i="1" s="1"/>
  <c r="O52" i="1" s="1"/>
  <c r="M53" i="1"/>
  <c r="N53" i="1" s="1"/>
  <c r="O53" i="1" s="1"/>
  <c r="M54" i="1"/>
  <c r="N54" i="1" s="1"/>
  <c r="O54" i="1" s="1"/>
  <c r="M55" i="1"/>
  <c r="N55" i="1" s="1"/>
  <c r="O55" i="1" s="1"/>
  <c r="M56" i="1"/>
  <c r="N56" i="1" s="1"/>
  <c r="O56" i="1" s="1"/>
  <c r="M57" i="1"/>
  <c r="N57" i="1" s="1"/>
  <c r="O57" i="1" s="1"/>
  <c r="M58" i="1"/>
  <c r="N58" i="1" s="1"/>
  <c r="O58" i="1" s="1"/>
  <c r="M59" i="1"/>
  <c r="N59" i="1" s="1"/>
  <c r="O59" i="1" s="1"/>
  <c r="M60" i="1"/>
  <c r="N60" i="1" s="1"/>
  <c r="O60" i="1" s="1"/>
  <c r="M61" i="1"/>
  <c r="N61" i="1" s="1"/>
  <c r="O61" i="1" s="1"/>
  <c r="M62" i="1"/>
  <c r="N62" i="1" s="1"/>
  <c r="O62" i="1" s="1"/>
  <c r="M63" i="1"/>
  <c r="N63" i="1" s="1"/>
  <c r="O63" i="1" s="1"/>
  <c r="M64" i="1"/>
  <c r="N64" i="1" s="1"/>
  <c r="O64" i="1" s="1"/>
  <c r="M65" i="1"/>
  <c r="N65" i="1" s="1"/>
  <c r="O65" i="1" s="1"/>
  <c r="M66" i="1"/>
  <c r="N66" i="1" s="1"/>
  <c r="O66" i="1" s="1"/>
  <c r="M67" i="1"/>
  <c r="N67" i="1" s="1"/>
  <c r="O67" i="1" s="1"/>
  <c r="M68" i="1"/>
  <c r="N68" i="1" s="1"/>
  <c r="O68" i="1" s="1"/>
  <c r="M69" i="1"/>
  <c r="N69" i="1" s="1"/>
  <c r="O69" i="1" s="1"/>
  <c r="M70" i="1"/>
  <c r="N70" i="1" s="1"/>
  <c r="O70" i="1" s="1"/>
  <c r="M71" i="1"/>
  <c r="N71" i="1" s="1"/>
  <c r="O71" i="1" s="1"/>
  <c r="M28" i="1"/>
  <c r="N28" i="1" s="1"/>
  <c r="O28" i="1" s="1"/>
  <c r="M29" i="1"/>
  <c r="N29" i="1" s="1"/>
  <c r="O29" i="1" s="1"/>
  <c r="M30" i="1"/>
  <c r="N30" i="1" s="1"/>
  <c r="O30" i="1" s="1"/>
  <c r="M31" i="1"/>
  <c r="N31" i="1" s="1"/>
  <c r="O31" i="1" s="1"/>
  <c r="M32" i="1"/>
  <c r="N32" i="1" s="1"/>
  <c r="O32" i="1" s="1"/>
  <c r="M33" i="1"/>
  <c r="N33" i="1" s="1"/>
  <c r="O33" i="1" s="1"/>
  <c r="M34" i="1"/>
  <c r="N34" i="1" s="1"/>
  <c r="O34" i="1" s="1"/>
  <c r="M35" i="1"/>
  <c r="N35" i="1" s="1"/>
  <c r="O35" i="1" s="1"/>
  <c r="M36" i="1"/>
  <c r="N36" i="1" s="1"/>
  <c r="O36" i="1" s="1"/>
  <c r="M37" i="1"/>
  <c r="N37" i="1" s="1"/>
  <c r="O37" i="1" s="1"/>
  <c r="M38" i="1"/>
  <c r="N38" i="1" s="1"/>
  <c r="O38" i="1" s="1"/>
  <c r="M39" i="1"/>
  <c r="N39" i="1" s="1"/>
  <c r="O39" i="1" s="1"/>
  <c r="M40" i="1"/>
  <c r="N40" i="1" s="1"/>
  <c r="O40" i="1" s="1"/>
  <c r="M41" i="1"/>
  <c r="N41" i="1" s="1"/>
  <c r="O41" i="1" s="1"/>
  <c r="M42" i="1"/>
  <c r="N42" i="1" s="1"/>
  <c r="O42" i="1" s="1"/>
  <c r="M43" i="1"/>
  <c r="N43" i="1" s="1"/>
  <c r="O43" i="1" s="1"/>
  <c r="M44" i="1"/>
  <c r="N44" i="1" s="1"/>
  <c r="O44" i="1" s="1"/>
  <c r="M45" i="1"/>
  <c r="N45" i="1" s="1"/>
  <c r="O45" i="1" s="1"/>
  <c r="M46" i="1"/>
  <c r="N46" i="1" s="1"/>
  <c r="O46" i="1" s="1"/>
  <c r="M47" i="1"/>
  <c r="N47" i="1" s="1"/>
  <c r="O47" i="1" s="1"/>
  <c r="M5" i="1"/>
  <c r="N5" i="1" s="1"/>
  <c r="O5" i="1" s="1"/>
  <c r="M6" i="1"/>
  <c r="N6" i="1" s="1"/>
  <c r="O6" i="1" s="1"/>
  <c r="M7" i="1"/>
  <c r="N7" i="1" s="1"/>
  <c r="O7" i="1" s="1"/>
  <c r="M8" i="1"/>
  <c r="N8" i="1" s="1"/>
  <c r="O8" i="1" s="1"/>
  <c r="M9" i="1"/>
  <c r="N9" i="1" s="1"/>
  <c r="O9" i="1" s="1"/>
  <c r="M10" i="1"/>
  <c r="N10" i="1" s="1"/>
  <c r="O10" i="1" s="1"/>
  <c r="M11" i="1"/>
  <c r="N11" i="1" s="1"/>
  <c r="O11" i="1" s="1"/>
  <c r="M12" i="1"/>
  <c r="N12" i="1" s="1"/>
  <c r="O12" i="1" s="1"/>
  <c r="M13" i="1"/>
  <c r="N13" i="1" s="1"/>
  <c r="O13" i="1" s="1"/>
  <c r="M14" i="1"/>
  <c r="N14" i="1" s="1"/>
  <c r="O14" i="1" s="1"/>
  <c r="M15" i="1"/>
  <c r="N15" i="1" s="1"/>
  <c r="O15" i="1" s="1"/>
  <c r="M16" i="1"/>
  <c r="N16" i="1" s="1"/>
  <c r="O16" i="1" s="1"/>
  <c r="M17" i="1"/>
  <c r="N17" i="1" s="1"/>
  <c r="O17" i="1" s="1"/>
  <c r="M18" i="1"/>
  <c r="N18" i="1" s="1"/>
  <c r="O18" i="1" s="1"/>
  <c r="M19" i="1"/>
  <c r="N19" i="1" s="1"/>
  <c r="O19" i="1" s="1"/>
  <c r="M20" i="1"/>
  <c r="N20" i="1" s="1"/>
  <c r="O20" i="1" s="1"/>
  <c r="M21" i="1"/>
  <c r="N21" i="1" s="1"/>
  <c r="O21" i="1" s="1"/>
  <c r="M22" i="1"/>
  <c r="N22" i="1" s="1"/>
  <c r="O22" i="1" s="1"/>
  <c r="M23" i="1"/>
  <c r="N23" i="1" s="1"/>
  <c r="O23" i="1" s="1"/>
  <c r="M24" i="1"/>
  <c r="N24" i="1" s="1"/>
  <c r="O24" i="1" s="1"/>
  <c r="C111" i="1"/>
  <c r="C112" i="1" s="1"/>
  <c r="K67" i="1"/>
  <c r="K68" i="1"/>
  <c r="K69" i="1"/>
  <c r="K70" i="1"/>
  <c r="K71" i="1"/>
  <c r="K95" i="1"/>
  <c r="K94" i="1"/>
  <c r="K93" i="1"/>
  <c r="K92" i="1"/>
  <c r="K91" i="1"/>
  <c r="K47" i="1"/>
  <c r="K46" i="1"/>
  <c r="K45" i="1"/>
  <c r="K44" i="1"/>
  <c r="K43" i="1"/>
  <c r="K24" i="1"/>
  <c r="K23" i="1"/>
  <c r="K22" i="1"/>
  <c r="K21" i="1"/>
  <c r="K20" i="1"/>
  <c r="K76" i="1"/>
  <c r="K77" i="1"/>
  <c r="K78" i="1"/>
  <c r="K79" i="1"/>
  <c r="K80" i="1"/>
  <c r="K81" i="1"/>
  <c r="K82" i="1"/>
  <c r="K83" i="1"/>
  <c r="K84" i="1"/>
  <c r="K85" i="1"/>
  <c r="K86" i="1"/>
  <c r="K87" i="1"/>
  <c r="K88" i="1"/>
  <c r="K89" i="1"/>
  <c r="K90" i="1"/>
  <c r="K52" i="1"/>
  <c r="K53" i="1"/>
  <c r="K54" i="1"/>
  <c r="K55" i="1"/>
  <c r="K56" i="1"/>
  <c r="K57" i="1"/>
  <c r="K58" i="1"/>
  <c r="K59" i="1"/>
  <c r="K60" i="1"/>
  <c r="K61" i="1"/>
  <c r="K62" i="1"/>
  <c r="K63" i="1"/>
  <c r="K64" i="1"/>
  <c r="K65" i="1"/>
  <c r="K66" i="1"/>
  <c r="K28" i="1"/>
  <c r="K29" i="1"/>
  <c r="K30" i="1"/>
  <c r="K31" i="1"/>
  <c r="K32" i="1"/>
  <c r="K33" i="1"/>
  <c r="K34" i="1"/>
  <c r="K35" i="1"/>
  <c r="K36" i="1"/>
  <c r="K37" i="1"/>
  <c r="K38" i="1"/>
  <c r="K39" i="1"/>
  <c r="K40" i="1"/>
  <c r="K41" i="1"/>
  <c r="K42" i="1"/>
  <c r="K14" i="1"/>
  <c r="K5" i="1"/>
  <c r="K6" i="1"/>
  <c r="K7" i="1"/>
  <c r="K8" i="1"/>
  <c r="K9" i="1"/>
  <c r="K10" i="1"/>
  <c r="K11" i="1"/>
  <c r="K12" i="1"/>
  <c r="K13" i="1"/>
  <c r="K15" i="1"/>
  <c r="K16" i="1"/>
  <c r="K17" i="1"/>
  <c r="K18" i="1"/>
  <c r="K19" i="1"/>
  <c r="O96" i="1" l="1"/>
  <c r="N96" i="1"/>
  <c r="O72" i="1"/>
  <c r="N72" i="1"/>
  <c r="O48" i="1"/>
  <c r="O25" i="1"/>
  <c r="N48" i="1"/>
  <c r="N25" i="1"/>
</calcChain>
</file>

<file path=xl/sharedStrings.xml><?xml version="1.0" encoding="utf-8"?>
<sst xmlns="http://schemas.openxmlformats.org/spreadsheetml/2006/main" count="472" uniqueCount="42">
  <si>
    <t>Område</t>
  </si>
  <si>
    <t>Indikator</t>
  </si>
  <si>
    <t>Udledningsscenarie</t>
  </si>
  <si>
    <t>Tidsperiode</t>
  </si>
  <si>
    <t>Median</t>
  </si>
  <si>
    <t>10.pct</t>
  </si>
  <si>
    <t>90.pct</t>
  </si>
  <si>
    <t>Enhed</t>
  </si>
  <si>
    <t>Lillebælt sydlig</t>
  </si>
  <si>
    <t>Stormflod 20-årshændelse</t>
  </si>
  <si>
    <t>Stormflod 50-årshændelse</t>
  </si>
  <si>
    <t>Stormflod 100-årshændelse</t>
  </si>
  <si>
    <t>Meget lavt (SSP1-1,9)</t>
  </si>
  <si>
    <t>Lavt (SSP1-2,6)</t>
  </si>
  <si>
    <t>Mellemhøjt (SSP2-4,5)</t>
  </si>
  <si>
    <t>Højt (SSP3-7,0)</t>
  </si>
  <si>
    <t>Meget højt (SSP5-8,5)</t>
  </si>
  <si>
    <t>2071-2100</t>
  </si>
  <si>
    <t>cm</t>
  </si>
  <si>
    <t>Femern Bælt</t>
  </si>
  <si>
    <t>Tabel for Aabenraa området</t>
  </si>
  <si>
    <t>Tabel for Gedser Havn</t>
  </si>
  <si>
    <t>Tabel for Præstø</t>
  </si>
  <si>
    <t>Faxe Bugt</t>
  </si>
  <si>
    <t>Tabel for Hesnæs Havn</t>
  </si>
  <si>
    <t>Falsters og Møns Østersøkyst</t>
  </si>
  <si>
    <t>Ref2023</t>
  </si>
  <si>
    <t>HighRef2023</t>
  </si>
  <si>
    <t>Middelvandstand</t>
  </si>
  <si>
    <t>Beregning af iteration og endvalues</t>
  </si>
  <si>
    <t>end</t>
  </si>
  <si>
    <t>ini</t>
  </si>
  <si>
    <t>incre</t>
  </si>
  <si>
    <t>iterations</t>
  </si>
  <si>
    <t>end_value for iter</t>
  </si>
  <si>
    <t>End</t>
  </si>
  <si>
    <t xml:space="preserve">Initial </t>
  </si>
  <si>
    <t>Increment</t>
  </si>
  <si>
    <t xml:space="preserve">Antal iterationer </t>
  </si>
  <si>
    <t>Slutværdi</t>
  </si>
  <si>
    <t>Total</t>
  </si>
  <si>
    <t>fremskriv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</si>
</sst>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mbria"/>
      <family val="2"/>
    </font>
    <font>
      <sz val="11"/>
      <color theme="1"/>
      <name val="Cambria"/>
      <family val="1"/>
    </font>
    <font>
      <sz val="8"/>
      <name val="Cambria"/>
      <family val="2"/>
    </font>
    <font>
      <sz val="11"/>
      <color rgb="FF3F3F76"/>
      <name val="Cambria"/>
      <family val="2"/>
    </font>
    <font>
      <b/>
      <sz val="11"/>
      <color rgb="FFFA7D00"/>
      <name val="Cambria"/>
      <family val="2"/>
    </font>
    <font>
      <b/>
      <sz val="11"/>
      <color theme="1"/>
      <name val="Cambria"/>
      <family val="1"/>
    </font>
  </fonts>
  <fills count="4">
    <fill>
      <patternFill patternType="none"/>
    </fill>
    <fill>
      <patternFill patternType="gray125"/>
    </fill>
    <fill>
      <patternFill patternType="solid">
        <fgColor rgb="FFFFCC99"/>
      </patternFill>
    </fill>
    <fill>
      <patternFill patternType="solid">
        <fgColor rgb="FFF2F2F2"/>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3" fillId="2" borderId="1" applyNumberFormat="0" applyAlignment="0" applyProtection="0"/>
    <xf numFmtId="0" fontId="4" fillId="3" borderId="1" applyNumberFormat="0" applyAlignment="0" applyProtection="0"/>
  </cellStyleXfs>
  <cellXfs count="10">
    <xf numFmtId="0" fontId="0" fillId="0" borderId="0" xfId="0"/>
    <xf numFmtId="1" fontId="0" fillId="0" borderId="0" xfId="0" applyNumberFormat="1"/>
    <xf numFmtId="0" fontId="1" fillId="0" borderId="0" xfId="0" applyFont="1"/>
    <xf numFmtId="2" fontId="1" fillId="0" borderId="0" xfId="0" applyNumberFormat="1" applyFont="1" applyAlignment="1">
      <alignment horizontal="left"/>
    </xf>
    <xf numFmtId="2" fontId="1" fillId="0" borderId="0" xfId="0" applyNumberFormat="1" applyFont="1" applyAlignment="1">
      <alignment horizontal="right"/>
    </xf>
    <xf numFmtId="1" fontId="1" fillId="0" borderId="0" xfId="0" applyNumberFormat="1" applyFont="1"/>
    <xf numFmtId="2" fontId="0" fillId="0" borderId="0" xfId="0" applyNumberFormat="1"/>
    <xf numFmtId="0" fontId="3" fillId="2" borderId="1" xfId="1"/>
    <xf numFmtId="0" fontId="4" fillId="3" borderId="1" xfId="2"/>
    <xf numFmtId="1" fontId="5" fillId="0" borderId="0" xfId="0" applyNumberFormat="1" applyFont="1"/>
  </cellXfs>
  <cellStyles count="3">
    <cellStyle name="Calculation" xfId="2" builtinId="22"/>
    <cellStyle name="Input" xfId="1" builtinId="20"/>
    <cellStyle name="Normal" xfId="0" builtinId="0"/>
  </cellStyles>
  <dxfs count="4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strike val="0"/>
        <outline val="0"/>
        <shadow val="0"/>
        <u val="none"/>
        <vertAlign val="baseline"/>
        <sz val="11"/>
        <color theme="1"/>
        <name val="Cambria"/>
        <family val="2"/>
        <scheme val="none"/>
      </font>
      <alignment horizontal="general" vertical="bottom"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1"/>
        <color theme="1"/>
        <name val="Cambria"/>
        <family val="1"/>
        <scheme val="none"/>
      </font>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6.xml"/><Relationship Id="rId13" Type="http://schemas.openxmlformats.org/officeDocument/2006/relationships/sharedStrings" Target="sharedStrings.xml"/><Relationship Id="rId3" Type="http://schemas.microsoft.com/office/2007/relationships/slicerCache" Target="slicerCaches/slicerCache1.xml"/><Relationship Id="rId7" Type="http://schemas.microsoft.com/office/2007/relationships/slicerCache" Target="slicerCaches/slicerCache5.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4.xml"/><Relationship Id="rId11" Type="http://schemas.openxmlformats.org/officeDocument/2006/relationships/theme" Target="theme/theme1.xml"/><Relationship Id="rId5" Type="http://schemas.microsoft.com/office/2007/relationships/slicerCache" Target="slicerCaches/slicerCache3.xml"/><Relationship Id="rId15" Type="http://schemas.openxmlformats.org/officeDocument/2006/relationships/calcChain" Target="calcChain.xml"/><Relationship Id="rId10" Type="http://schemas.microsoft.com/office/2007/relationships/slicerCache" Target="slicerCaches/slicerCache8.xml"/><Relationship Id="rId4" Type="http://schemas.microsoft.com/office/2007/relationships/slicerCache" Target="slicerCaches/slicerCache2.xml"/><Relationship Id="rId9" Type="http://schemas.microsoft.com/office/2007/relationships/slicerCache" Target="slicerCaches/slicerCache7.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absolute">
    <xdr:from>
      <xdr:col>17</xdr:col>
      <xdr:colOff>523875</xdr:colOff>
      <xdr:row>3</xdr:row>
      <xdr:rowOff>19050</xdr:rowOff>
    </xdr:from>
    <xdr:to>
      <xdr:col>20</xdr:col>
      <xdr:colOff>295275</xdr:colOff>
      <xdr:row>47</xdr:row>
      <xdr:rowOff>400050</xdr:rowOff>
    </xdr:to>
    <mc:AlternateContent xmlns:mc="http://schemas.openxmlformats.org/markup-compatibility/2006" xmlns:sle15="http://schemas.microsoft.com/office/drawing/2012/slicer">
      <mc:Choice Requires="sle15">
        <xdr:graphicFrame macro="">
          <xdr:nvGraphicFramePr>
            <xdr:cNvPr id="2" name="Indikator">
              <a:extLst>
                <a:ext uri="{FF2B5EF4-FFF2-40B4-BE49-F238E27FC236}">
                  <a16:creationId xmlns:a16="http://schemas.microsoft.com/office/drawing/2014/main" id="{CAB21751-E2F8-2E3F-E2E5-E884EB1123D5}"/>
                </a:ext>
              </a:extLst>
            </xdr:cNvPr>
            <xdr:cNvGraphicFramePr/>
          </xdr:nvGraphicFramePr>
          <xdr:xfrm>
            <a:off x="0" y="0"/>
            <a:ext cx="0" cy="0"/>
          </xdr:xfrm>
          <a:graphic>
            <a:graphicData uri="http://schemas.microsoft.com/office/drawing/2010/slicer">
              <sle:slicer xmlns:sle="http://schemas.microsoft.com/office/drawing/2010/slicer" name="Indikator"/>
            </a:graphicData>
          </a:graphic>
        </xdr:graphicFrame>
      </mc:Choice>
      <mc:Fallback xmlns="">
        <xdr:sp macro="" textlink="">
          <xdr:nvSpPr>
            <xdr:cNvPr id="0" name=""/>
            <xdr:cNvSpPr>
              <a:spLocks noTextEdit="1"/>
            </xdr:cNvSpPr>
          </xdr:nvSpPr>
          <xdr:spPr>
            <a:xfrm>
              <a:off x="18383250" y="561975"/>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333375</xdr:colOff>
      <xdr:row>3</xdr:row>
      <xdr:rowOff>28575</xdr:rowOff>
    </xdr:from>
    <xdr:to>
      <xdr:col>17</xdr:col>
      <xdr:colOff>104775</xdr:colOff>
      <xdr:row>47</xdr:row>
      <xdr:rowOff>409575</xdr:rowOff>
    </xdr:to>
    <mc:AlternateContent xmlns:mc="http://schemas.openxmlformats.org/markup-compatibility/2006" xmlns:sle15="http://schemas.microsoft.com/office/drawing/2012/slicer">
      <mc:Choice Requires="sle15">
        <xdr:graphicFrame macro="">
          <xdr:nvGraphicFramePr>
            <xdr:cNvPr id="3" name="Udledningsscenarie">
              <a:extLst>
                <a:ext uri="{FF2B5EF4-FFF2-40B4-BE49-F238E27FC236}">
                  <a16:creationId xmlns:a16="http://schemas.microsoft.com/office/drawing/2014/main" id="{772E92BF-550C-12E5-D4EF-FD2AC02C4F36}"/>
                </a:ext>
              </a:extLst>
            </xdr:cNvPr>
            <xdr:cNvGraphicFramePr/>
          </xdr:nvGraphicFramePr>
          <xdr:xfrm>
            <a:off x="0" y="0"/>
            <a:ext cx="0" cy="0"/>
          </xdr:xfrm>
          <a:graphic>
            <a:graphicData uri="http://schemas.microsoft.com/office/drawing/2010/slicer">
              <sle:slicer xmlns:sle="http://schemas.microsoft.com/office/drawing/2010/slicer" name="Udledningsscenarie"/>
            </a:graphicData>
          </a:graphic>
        </xdr:graphicFrame>
      </mc:Choice>
      <mc:Fallback xmlns="">
        <xdr:sp macro="" textlink="">
          <xdr:nvSpPr>
            <xdr:cNvPr id="0" name=""/>
            <xdr:cNvSpPr>
              <a:spLocks noTextEdit="1"/>
            </xdr:cNvSpPr>
          </xdr:nvSpPr>
          <xdr:spPr>
            <a:xfrm>
              <a:off x="16135350" y="571500"/>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9525</xdr:colOff>
      <xdr:row>92</xdr:row>
      <xdr:rowOff>123825</xdr:rowOff>
    </xdr:from>
    <xdr:to>
      <xdr:col>20</xdr:col>
      <xdr:colOff>466725</xdr:colOff>
      <xdr:row>107</xdr:row>
      <xdr:rowOff>114300</xdr:rowOff>
    </xdr:to>
    <mc:AlternateContent xmlns:mc="http://schemas.openxmlformats.org/markup-compatibility/2006" xmlns:sle15="http://schemas.microsoft.com/office/drawing/2012/slicer">
      <mc:Choice Requires="sle15">
        <xdr:graphicFrame macro="">
          <xdr:nvGraphicFramePr>
            <xdr:cNvPr id="4" name="Indikator 1">
              <a:extLst>
                <a:ext uri="{FF2B5EF4-FFF2-40B4-BE49-F238E27FC236}">
                  <a16:creationId xmlns:a16="http://schemas.microsoft.com/office/drawing/2014/main" id="{A957B70C-A827-9E57-5609-8847655D4807}"/>
                </a:ext>
              </a:extLst>
            </xdr:cNvPr>
            <xdr:cNvGraphicFramePr/>
          </xdr:nvGraphicFramePr>
          <xdr:xfrm>
            <a:off x="0" y="0"/>
            <a:ext cx="0" cy="0"/>
          </xdr:xfrm>
          <a:graphic>
            <a:graphicData uri="http://schemas.microsoft.com/office/drawing/2010/slicer">
              <sle:slicer xmlns:sle="http://schemas.microsoft.com/office/drawing/2010/slicer" name="Indikator 1"/>
            </a:graphicData>
          </a:graphic>
        </xdr:graphicFrame>
      </mc:Choice>
      <mc:Fallback xmlns="">
        <xdr:sp macro="" textlink="">
          <xdr:nvSpPr>
            <xdr:cNvPr id="0" name=""/>
            <xdr:cNvSpPr>
              <a:spLocks noTextEdit="1"/>
            </xdr:cNvSpPr>
          </xdr:nvSpPr>
          <xdr:spPr>
            <a:xfrm>
              <a:off x="18554700" y="5314950"/>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419100</xdr:colOff>
      <xdr:row>92</xdr:row>
      <xdr:rowOff>85725</xdr:rowOff>
    </xdr:from>
    <xdr:to>
      <xdr:col>17</xdr:col>
      <xdr:colOff>190500</xdr:colOff>
      <xdr:row>107</xdr:row>
      <xdr:rowOff>76200</xdr:rowOff>
    </xdr:to>
    <mc:AlternateContent xmlns:mc="http://schemas.openxmlformats.org/markup-compatibility/2006" xmlns:sle15="http://schemas.microsoft.com/office/drawing/2012/slicer">
      <mc:Choice Requires="sle15">
        <xdr:graphicFrame macro="">
          <xdr:nvGraphicFramePr>
            <xdr:cNvPr id="5" name="Udledningsscenarie 1">
              <a:extLst>
                <a:ext uri="{FF2B5EF4-FFF2-40B4-BE49-F238E27FC236}">
                  <a16:creationId xmlns:a16="http://schemas.microsoft.com/office/drawing/2014/main" id="{0F1871C9-7042-B88D-18DA-1A8764921527}"/>
                </a:ext>
              </a:extLst>
            </xdr:cNvPr>
            <xdr:cNvGraphicFramePr/>
          </xdr:nvGraphicFramePr>
          <xdr:xfrm>
            <a:off x="0" y="0"/>
            <a:ext cx="0" cy="0"/>
          </xdr:xfrm>
          <a:graphic>
            <a:graphicData uri="http://schemas.microsoft.com/office/drawing/2010/slicer">
              <sle:slicer xmlns:sle="http://schemas.microsoft.com/office/drawing/2010/slicer" name="Udledningsscenarie 1"/>
            </a:graphicData>
          </a:graphic>
        </xdr:graphicFrame>
      </mc:Choice>
      <mc:Fallback xmlns="">
        <xdr:sp macro="" textlink="">
          <xdr:nvSpPr>
            <xdr:cNvPr id="0" name=""/>
            <xdr:cNvSpPr>
              <a:spLocks noTextEdit="1"/>
            </xdr:cNvSpPr>
          </xdr:nvSpPr>
          <xdr:spPr>
            <a:xfrm>
              <a:off x="16221075" y="5276850"/>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104775</xdr:colOff>
      <xdr:row>118</xdr:row>
      <xdr:rowOff>171450</xdr:rowOff>
    </xdr:from>
    <xdr:to>
      <xdr:col>20</xdr:col>
      <xdr:colOff>561975</xdr:colOff>
      <xdr:row>132</xdr:row>
      <xdr:rowOff>161925</xdr:rowOff>
    </xdr:to>
    <mc:AlternateContent xmlns:mc="http://schemas.openxmlformats.org/markup-compatibility/2006" xmlns:sle15="http://schemas.microsoft.com/office/drawing/2012/slicer">
      <mc:Choice Requires="sle15">
        <xdr:graphicFrame macro="">
          <xdr:nvGraphicFramePr>
            <xdr:cNvPr id="7" name="Indikator 2">
              <a:extLst>
                <a:ext uri="{FF2B5EF4-FFF2-40B4-BE49-F238E27FC236}">
                  <a16:creationId xmlns:a16="http://schemas.microsoft.com/office/drawing/2014/main" id="{D633E6D7-27FC-0A80-C751-23F11CB3B8F2}"/>
                </a:ext>
              </a:extLst>
            </xdr:cNvPr>
            <xdr:cNvGraphicFramePr/>
          </xdr:nvGraphicFramePr>
          <xdr:xfrm>
            <a:off x="0" y="0"/>
            <a:ext cx="0" cy="0"/>
          </xdr:xfrm>
          <a:graphic>
            <a:graphicData uri="http://schemas.microsoft.com/office/drawing/2010/slicer">
              <sle:slicer xmlns:sle="http://schemas.microsoft.com/office/drawing/2010/slicer" name="Indikator 2"/>
            </a:graphicData>
          </a:graphic>
        </xdr:graphicFrame>
      </mc:Choice>
      <mc:Fallback xmlns="">
        <xdr:sp macro="" textlink="">
          <xdr:nvSpPr>
            <xdr:cNvPr id="0" name=""/>
            <xdr:cNvSpPr>
              <a:spLocks noTextEdit="1"/>
            </xdr:cNvSpPr>
          </xdr:nvSpPr>
          <xdr:spPr>
            <a:xfrm>
              <a:off x="18649950" y="9886950"/>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457200</xdr:colOff>
      <xdr:row>118</xdr:row>
      <xdr:rowOff>123825</xdr:rowOff>
    </xdr:from>
    <xdr:to>
      <xdr:col>17</xdr:col>
      <xdr:colOff>228600</xdr:colOff>
      <xdr:row>132</xdr:row>
      <xdr:rowOff>114300</xdr:rowOff>
    </xdr:to>
    <mc:AlternateContent xmlns:mc="http://schemas.openxmlformats.org/markup-compatibility/2006" xmlns:sle15="http://schemas.microsoft.com/office/drawing/2012/slicer">
      <mc:Choice Requires="sle15">
        <xdr:graphicFrame macro="">
          <xdr:nvGraphicFramePr>
            <xdr:cNvPr id="8" name="Udledningsscenarie 2">
              <a:extLst>
                <a:ext uri="{FF2B5EF4-FFF2-40B4-BE49-F238E27FC236}">
                  <a16:creationId xmlns:a16="http://schemas.microsoft.com/office/drawing/2014/main" id="{AFE783C1-D488-D436-174B-2A0D1DAB0C70}"/>
                </a:ext>
              </a:extLst>
            </xdr:cNvPr>
            <xdr:cNvGraphicFramePr/>
          </xdr:nvGraphicFramePr>
          <xdr:xfrm>
            <a:off x="0" y="0"/>
            <a:ext cx="0" cy="0"/>
          </xdr:xfrm>
          <a:graphic>
            <a:graphicData uri="http://schemas.microsoft.com/office/drawing/2010/slicer">
              <sle:slicer xmlns:sle="http://schemas.microsoft.com/office/drawing/2010/slicer" name="Udledningsscenarie 2"/>
            </a:graphicData>
          </a:graphic>
        </xdr:graphicFrame>
      </mc:Choice>
      <mc:Fallback xmlns="">
        <xdr:sp macro="" textlink="">
          <xdr:nvSpPr>
            <xdr:cNvPr id="0" name=""/>
            <xdr:cNvSpPr>
              <a:spLocks noTextEdit="1"/>
            </xdr:cNvSpPr>
          </xdr:nvSpPr>
          <xdr:spPr>
            <a:xfrm>
              <a:off x="16259175" y="9839325"/>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18</xdr:col>
      <xdr:colOff>95250</xdr:colOff>
      <xdr:row>145</xdr:row>
      <xdr:rowOff>47625</xdr:rowOff>
    </xdr:from>
    <xdr:to>
      <xdr:col>20</xdr:col>
      <xdr:colOff>552450</xdr:colOff>
      <xdr:row>159</xdr:row>
      <xdr:rowOff>38100</xdr:rowOff>
    </xdr:to>
    <mc:AlternateContent xmlns:mc="http://schemas.openxmlformats.org/markup-compatibility/2006" xmlns:sle15="http://schemas.microsoft.com/office/drawing/2012/slicer">
      <mc:Choice Requires="sle15">
        <xdr:graphicFrame macro="">
          <xdr:nvGraphicFramePr>
            <xdr:cNvPr id="9" name="Indikator 3">
              <a:extLst>
                <a:ext uri="{FF2B5EF4-FFF2-40B4-BE49-F238E27FC236}">
                  <a16:creationId xmlns:a16="http://schemas.microsoft.com/office/drawing/2014/main" id="{FC25FE5D-958C-F911-7FF7-375C35A6BFDC}"/>
                </a:ext>
              </a:extLst>
            </xdr:cNvPr>
            <xdr:cNvGraphicFramePr/>
          </xdr:nvGraphicFramePr>
          <xdr:xfrm>
            <a:off x="0" y="0"/>
            <a:ext cx="0" cy="0"/>
          </xdr:xfrm>
          <a:graphic>
            <a:graphicData uri="http://schemas.microsoft.com/office/drawing/2010/slicer">
              <sle:slicer xmlns:sle="http://schemas.microsoft.com/office/drawing/2010/slicer" name="Indikator 3"/>
            </a:graphicData>
          </a:graphic>
        </xdr:graphicFrame>
      </mc:Choice>
      <mc:Fallback xmlns="">
        <xdr:sp macro="" textlink="">
          <xdr:nvSpPr>
            <xdr:cNvPr id="0" name=""/>
            <xdr:cNvSpPr>
              <a:spLocks noTextEdit="1"/>
            </xdr:cNvSpPr>
          </xdr:nvSpPr>
          <xdr:spPr>
            <a:xfrm>
              <a:off x="18640425" y="14649450"/>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571500</xdr:colOff>
      <xdr:row>145</xdr:row>
      <xdr:rowOff>76200</xdr:rowOff>
    </xdr:from>
    <xdr:to>
      <xdr:col>17</xdr:col>
      <xdr:colOff>342900</xdr:colOff>
      <xdr:row>159</xdr:row>
      <xdr:rowOff>66675</xdr:rowOff>
    </xdr:to>
    <mc:AlternateContent xmlns:mc="http://schemas.openxmlformats.org/markup-compatibility/2006" xmlns:sle15="http://schemas.microsoft.com/office/drawing/2012/slicer">
      <mc:Choice Requires="sle15">
        <xdr:graphicFrame macro="">
          <xdr:nvGraphicFramePr>
            <xdr:cNvPr id="10" name="Udledningsscenarie 3">
              <a:extLst>
                <a:ext uri="{FF2B5EF4-FFF2-40B4-BE49-F238E27FC236}">
                  <a16:creationId xmlns:a16="http://schemas.microsoft.com/office/drawing/2014/main" id="{7710BFC4-0F02-7216-F271-B17F2F43D245}"/>
                </a:ext>
              </a:extLst>
            </xdr:cNvPr>
            <xdr:cNvGraphicFramePr/>
          </xdr:nvGraphicFramePr>
          <xdr:xfrm>
            <a:off x="0" y="0"/>
            <a:ext cx="0" cy="0"/>
          </xdr:xfrm>
          <a:graphic>
            <a:graphicData uri="http://schemas.microsoft.com/office/drawing/2010/slicer">
              <sle:slicer xmlns:sle="http://schemas.microsoft.com/office/drawing/2010/slicer" name="Udledningsscenarie 3"/>
            </a:graphicData>
          </a:graphic>
        </xdr:graphicFrame>
      </mc:Choice>
      <mc:Fallback xmlns="">
        <xdr:sp macro="" textlink="">
          <xdr:nvSpPr>
            <xdr:cNvPr id="0" name=""/>
            <xdr:cNvSpPr>
              <a:spLocks noTextEdit="1"/>
            </xdr:cNvSpPr>
          </xdr:nvSpPr>
          <xdr:spPr>
            <a:xfrm>
              <a:off x="16373475" y="14678025"/>
              <a:ext cx="1828800" cy="2524125"/>
            </a:xfrm>
            <a:prstGeom prst="rect">
              <a:avLst/>
            </a:prstGeom>
            <a:solidFill>
              <a:prstClr val="white"/>
            </a:solidFill>
            <a:ln w="1">
              <a:solidFill>
                <a:prstClr val="green"/>
              </a:solidFill>
            </a:ln>
          </xdr:spPr>
          <xdr:txBody>
            <a:bodyPr vertOverflow="clip" horzOverflow="clip"/>
            <a:lstStyle/>
            <a:p>
              <a:r>
                <a:rPr lang="da-DK"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ikator" xr10:uid="{B94559C3-D794-4A11-B185-65F10C07CD14}" sourceName="Indikator">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dledningsscenarie" xr10:uid="{6627FD1F-89BD-4641-A9A0-B991A9C6FEA3}" sourceName="Udledningsscenarie">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ikator1" xr10:uid="{81BCD1C8-4BFF-49BC-B659-52510FE0382A}" sourceName="Indikator">
  <extLst>
    <x:ext xmlns:x15="http://schemas.microsoft.com/office/spreadsheetml/2010/11/main" uri="{2F2917AC-EB37-4324-AD4E-5DD8C200BD13}">
      <x15:tableSlicerCache tableId="2"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dledningsscenarie1" xr10:uid="{D90C0BC7-D6FC-47F0-AC5F-D27FAED65C27}" sourceName="Udledningsscenarie">
  <extLst>
    <x:ext xmlns:x15="http://schemas.microsoft.com/office/spreadsheetml/2010/11/main" uri="{2F2917AC-EB37-4324-AD4E-5DD8C200BD13}">
      <x15:tableSlicerCache tableId="2" column="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ikator2" xr10:uid="{C4C1BFA7-DBA5-4AA1-9A97-F5B1B634B535}" sourceName="Indikator">
  <extLst>
    <x:ext xmlns:x15="http://schemas.microsoft.com/office/spreadsheetml/2010/11/main" uri="{2F2917AC-EB37-4324-AD4E-5DD8C200BD13}">
      <x15:tableSlicerCache tableId="3" column="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dledningsscenarie2" xr10:uid="{81DE46D1-24BE-436A-8314-ADD97B6E5B21}" sourceName="Udledningsscenarie">
  <extLst>
    <x:ext xmlns:x15="http://schemas.microsoft.com/office/spreadsheetml/2010/11/main" uri="{2F2917AC-EB37-4324-AD4E-5DD8C200BD13}">
      <x15:tableSlicerCache tableId="3" column="3"/>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ikator3" xr10:uid="{1912B7D7-6B81-4BB6-B5B7-0C458C180B03}" sourceName="Indikator">
  <extLst>
    <x:ext xmlns:x15="http://schemas.microsoft.com/office/spreadsheetml/2010/11/main" uri="{2F2917AC-EB37-4324-AD4E-5DD8C200BD13}">
      <x15:tableSlicerCache tableId="4" column="2"/>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dledningsscenarie3" xr10:uid="{244BDCE0-121D-483D-83E3-9CD488D231CB}" sourceName="Udledningsscenarie">
  <extLst>
    <x:ext xmlns:x15="http://schemas.microsoft.com/office/spreadsheetml/2010/11/main" uri="{2F2917AC-EB37-4324-AD4E-5DD8C200BD13}">
      <x15:tableSlicerCache tableId="4"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ikator" xr10:uid="{5DDC60B3-5977-4CEA-B74A-3AB364DC5EE2}" cache="Slicer_Indikator" caption="Indikator" rowHeight="241300"/>
  <slicer name="Udledningsscenarie" xr10:uid="{E25F77BF-0756-49C9-9604-70C9CB438F31}" cache="Slicer_Udledningsscenarie" caption="Udledningsscenarie" rowHeight="241300"/>
  <slicer name="Indikator 1" xr10:uid="{88F18C20-6523-4D45-AA6B-18F8922967A2}" cache="Slicer_Indikator1" caption="Indikator" rowHeight="241300"/>
  <slicer name="Udledningsscenarie 1" xr10:uid="{B04D65FB-BE0A-4879-92EE-9DC26A775A1D}" cache="Slicer_Udledningsscenarie1" caption="Udledningsscenarie" rowHeight="241300"/>
  <slicer name="Indikator 2" xr10:uid="{1D722C45-EFED-481E-A48B-116C95E8EF97}" cache="Slicer_Indikator2" caption="Indikator" rowHeight="241300"/>
  <slicer name="Udledningsscenarie 2" xr10:uid="{F3CC148F-5598-4F5B-8DAA-8CB874ADB1A9}" cache="Slicer_Udledningsscenarie2" caption="Udledningsscenarie" rowHeight="241300"/>
  <slicer name="Indikator 3" xr10:uid="{747D62F6-5848-423F-A60F-C8D66E101C40}" cache="Slicer_Indikator3" caption="Indikator" rowHeight="241300"/>
  <slicer name="Udledningsscenarie 3" xr10:uid="{CA44330D-4F04-4891-8E58-F063D6A8225A}" cache="Slicer_Udledningsscenarie3" caption="Udledningsscenari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0253CD-B8D1-467A-A479-61D059A269E9}" name="Table1" displayName="Table1" ref="B4:O25" totalsRowCount="1">
  <autoFilter ref="B4:O24" xr:uid="{D40253CD-B8D1-467A-A479-61D059A269E9}">
    <filterColumn colId="1">
      <filters>
        <filter val="Middelvandstand"/>
      </filters>
    </filterColumn>
    <filterColumn colId="2">
      <filters>
        <filter val="Meget højt (SSP5-8,5)"/>
        <filter val="Mellemhøjt (SSP2-4,5)"/>
      </filters>
    </filterColumn>
  </autoFilter>
  <tableColumns count="14">
    <tableColumn id="1" xr3:uid="{9BE54E1F-A644-4647-8579-E4E9500F456F}" name="Område" totalsRowLabel="Total"/>
    <tableColumn id="2" xr3:uid="{7AA9EAF9-E34C-42AC-9301-A5F0F62EFDE6}" name="Indikator"/>
    <tableColumn id="3" xr3:uid="{84298B5D-C371-482F-98F3-B8E536754783}" name="Udledningsscenarie"/>
    <tableColumn id="4" xr3:uid="{84DA00ED-9DA1-4519-9E20-A15BA8FA17A6}" name="Tidsperiode"/>
    <tableColumn id="5" xr3:uid="{77C60DB4-55F6-4A6A-9BE1-68BE3CC0D2F6}" name="Median" dataDxfId="45"/>
    <tableColumn id="6" xr3:uid="{44511E86-9AFF-480B-BE63-5D2AE769A3C7}" name="10.pct" dataDxfId="44"/>
    <tableColumn id="7" xr3:uid="{F6BE8BAD-2F1A-4A3A-B9E4-08678A7992C9}" name="90.pct" dataDxfId="43"/>
    <tableColumn id="8" xr3:uid="{4EE2A9D2-098E-4897-BA84-D444145AF756}" name="Enhed"/>
    <tableColumn id="9" xr3:uid="{8357EB5E-7189-4A10-84A5-C6E5EE2B934D}" name="Ref2023" dataDxfId="42"/>
    <tableColumn id="10" xr3:uid="{F701BC95-3E32-4D98-B58E-5AA7FB0471F9}" name="HighRef2023" dataDxfId="41">
      <calculatedColumnFormula>IF(Table1[[#This Row],[Ref2023]]&gt;Table1[[#This Row],[Median]],TRUE,FALSE)</calculatedColumnFormula>
    </tableColumn>
    <tableColumn id="11" xr3:uid="{447A1641-E57E-45E1-9241-BF4CDD635EA5}" name="fremskriv" dataDxfId="40">
      <calculatedColumnFormula>Table1[[#This Row],[Ref2023]]+Table1[[#This Row],[Median]]</calculatedColumnFormula>
    </tableColumn>
    <tableColumn id="14" xr3:uid="{8EADBE66-3FA9-4578-BC47-61A02372BA17}" name="End" dataDxfId="39">
      <calculatedColumnFormula>CEILING(Table1[[#This Row],[Median]],5)</calculatedColumnFormula>
    </tableColumn>
    <tableColumn id="15" xr3:uid="{67D28B4A-08EC-4E7F-A9A6-1043A512308B}" name="Antal iterationer " totalsRowFunction="max" dataDxfId="38" totalsRowDxfId="37">
      <calculatedColumnFormula>(M5-$C$1)/$E$1+1</calculatedColumnFormula>
    </tableColumn>
    <tableColumn id="16" xr3:uid="{CA6FBE07-30D8-4F83-A4AA-C3BE24FF7E75}" name="Slutværdi" totalsRowFunction="max" dataDxfId="36" totalsRowDxfId="35">
      <calculatedColumnFormula>$C$1+((N5-1)*$E$1)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95FE99-7EB4-42C3-8D04-D072F8E7E871}" name="Table2" displayName="Table2" ref="B27:O48" totalsRowCount="1">
  <autoFilter ref="B27:O47" xr:uid="{DF95FE99-7EB4-42C3-8D04-D072F8E7E871}">
    <filterColumn colId="1">
      <filters>
        <filter val="Middelvandstand"/>
      </filters>
    </filterColumn>
    <filterColumn colId="2">
      <filters>
        <filter val="Meget højt (SSP5-8,5)"/>
        <filter val="Mellemhøjt (SSP2-4,5)"/>
      </filters>
    </filterColumn>
  </autoFilter>
  <tableColumns count="14">
    <tableColumn id="1" xr3:uid="{AC270907-27B9-4DAA-8D14-FA448370CE0E}" name="Område" totalsRowLabel="Total"/>
    <tableColumn id="2" xr3:uid="{61C9F33D-6113-40DC-9788-8DA5D935A301}" name="Indikator"/>
    <tableColumn id="3" xr3:uid="{3CD138BC-030F-460F-B6E4-F2E58D10D4C0}" name="Udledningsscenarie"/>
    <tableColumn id="4" xr3:uid="{5A3BFC18-0CD8-4D0D-850B-751CF48F3452}" name="Tidsperiode"/>
    <tableColumn id="5" xr3:uid="{B7EEB750-2F66-415C-B476-C8C8E994A3DC}" name="Median" dataDxfId="34"/>
    <tableColumn id="6" xr3:uid="{6930E295-2C3E-480C-90B7-507866A5E5C1}" name="10.pct" dataDxfId="33"/>
    <tableColumn id="7" xr3:uid="{C5BE2C36-6FC8-4DC5-BA31-F1CE0ABE3EF6}" name="90.pct" dataDxfId="32"/>
    <tableColumn id="8" xr3:uid="{1A7B3302-29B6-4BAE-8395-BCBE8F2052B2}" name="Enhed"/>
    <tableColumn id="9" xr3:uid="{3E75B1E5-9962-4905-B94A-FFEF13C452E8}" name="Ref2023" dataDxfId="31"/>
    <tableColumn id="10" xr3:uid="{CE8DF1A3-1F02-4729-9770-C5EB89A70204}" name="HighRef2023" dataDxfId="30">
      <calculatedColumnFormula>IF(Table2[[#This Row],[Ref2023]]&gt;Table2[[#This Row],[Median]],TRUE,FALSE)</calculatedColumnFormula>
    </tableColumn>
    <tableColumn id="14" xr3:uid="{75E3BF65-FC70-427E-9BF2-5AE19C8D8259}" name="fremskriv" dataDxfId="29">
      <calculatedColumnFormula>Table2[[#This Row],[Ref2023]]+Table2[[#This Row],[Median]]</calculatedColumnFormula>
    </tableColumn>
    <tableColumn id="11" xr3:uid="{0D6858DC-365F-415D-8EC5-3C287094C2A3}" name="End" dataDxfId="28">
      <calculatedColumnFormula>CEILING(Table2[[#This Row],[Median]],5)</calculatedColumnFormula>
    </tableColumn>
    <tableColumn id="12" xr3:uid="{3513DAC3-6253-4E92-8862-DC9F2289AC18}" name="Antal iterationer " totalsRowFunction="max" dataDxfId="27" totalsRowDxfId="26">
      <calculatedColumnFormula>(M28-$C$1)/$E$1+1</calculatedColumnFormula>
    </tableColumn>
    <tableColumn id="13" xr3:uid="{C6801412-1BF1-4D95-8639-671A35EE48FB}" name="Slutværdi" totalsRowFunction="max" dataDxfId="25" totalsRowDxfId="24">
      <calculatedColumnFormula>$C$1+((N28-1)*$E$1)</calculatedColumnFormula>
    </tableColumn>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376ED8-0FEA-486B-928D-4FAAA5A72A78}" name="Table3" displayName="Table3" ref="B51:O72" totalsRowCount="1">
  <autoFilter ref="B51:O71" xr:uid="{83376ED8-0FEA-486B-928D-4FAAA5A72A78}">
    <filterColumn colId="1">
      <filters>
        <filter val="Middelvandstand"/>
      </filters>
    </filterColumn>
    <filterColumn colId="2">
      <filters>
        <filter val="Meget højt (SSP5-8,5)"/>
        <filter val="Mellemhøjt (SSP2-4,5)"/>
      </filters>
    </filterColumn>
  </autoFilter>
  <tableColumns count="14">
    <tableColumn id="1" xr3:uid="{B1E63279-6B5C-4E4F-A1C9-A1C353D2DA0A}" name="Område" totalsRowLabel="Total"/>
    <tableColumn id="2" xr3:uid="{FAF08EB7-60FB-47D4-BFD1-516BA392E58F}" name="Indikator"/>
    <tableColumn id="3" xr3:uid="{E1976E7C-7369-4C77-9272-045AD73A1E9B}" name="Udledningsscenarie"/>
    <tableColumn id="4" xr3:uid="{BAFAAC2C-AFAF-40B3-9DE2-FFA244BDB649}" name="Tidsperiode"/>
    <tableColumn id="5" xr3:uid="{EB6658FA-A677-4EC4-A804-6AD4AAC434BC}" name="Median" dataDxfId="23"/>
    <tableColumn id="6" xr3:uid="{D54AC9B0-74F8-4DAB-8DF3-6F6B46F81A58}" name="10.pct" dataDxfId="22"/>
    <tableColumn id="7" xr3:uid="{74D69CA2-B07F-4F12-AEAF-5480911A8A4B}" name="90.pct" dataDxfId="21"/>
    <tableColumn id="8" xr3:uid="{76C0D334-DCA9-4D3A-B2EF-536468C70270}" name="Enhed"/>
    <tableColumn id="9" xr3:uid="{927A4571-35D3-4A41-984C-28AD344CBDDD}" name="Ref2023" dataDxfId="20"/>
    <tableColumn id="10" xr3:uid="{508F1F01-8034-457B-87CA-50FEB9BF77FD}" name="HighRef2023" dataDxfId="19">
      <calculatedColumnFormula>IF(Table3[[#This Row],[Ref2023]]&gt;Table3[[#This Row],[Median]],TRUE,FALSE)</calculatedColumnFormula>
    </tableColumn>
    <tableColumn id="14" xr3:uid="{9F6EEC11-541C-47AE-8290-C348B01704B3}" name="fremskriv" dataDxfId="18">
      <calculatedColumnFormula>Table3[[#This Row],[Ref2023]]+Table3[[#This Row],[Median]]</calculatedColumnFormula>
    </tableColumn>
    <tableColumn id="11" xr3:uid="{2EB99E04-480E-45D8-8346-278B96F05311}" name="End" dataDxfId="17">
      <calculatedColumnFormula>CEILING(Table3[[#This Row],[Median]],5)</calculatedColumnFormula>
    </tableColumn>
    <tableColumn id="12" xr3:uid="{7CDA93B1-6CC7-4434-912F-E393F48EF466}" name="Antal iterationer " totalsRowFunction="max" dataDxfId="16" totalsRowDxfId="15">
      <calculatedColumnFormula>(M52-$C$1)/$E$1+1</calculatedColumnFormula>
    </tableColumn>
    <tableColumn id="13" xr3:uid="{55A17407-1836-4123-B9FF-62397F2D6BA1}" name="Slutværdi" totalsRowFunction="max" dataDxfId="14" totalsRowDxfId="13">
      <calculatedColumnFormula>$C$1+((N52-1)*$E$1)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D1CB6C-CB73-4F77-9A9E-83E11C661562}" name="Table4" displayName="Table4" ref="B75:O96" totalsRowCount="1">
  <autoFilter ref="B75:O95" xr:uid="{73D1CB6C-CB73-4F77-9A9E-83E11C661562}">
    <filterColumn colId="1">
      <filters>
        <filter val="Middelvandstand"/>
      </filters>
    </filterColumn>
    <filterColumn colId="2">
      <filters>
        <filter val="Meget højt (SSP5-8,5)"/>
        <filter val="Mellemhøjt (SSP2-4,5)"/>
      </filters>
    </filterColumn>
  </autoFilter>
  <tableColumns count="14">
    <tableColumn id="1" xr3:uid="{1258757A-72FF-4E7B-BB3A-C14A9173294B}" name="Område" totalsRowLabel="Total" dataDxfId="12"/>
    <tableColumn id="2" xr3:uid="{2C887E5C-9097-4367-A895-E3F45BD0FC99}" name="Indikator"/>
    <tableColumn id="3" xr3:uid="{D6CF8E95-413A-4D42-B98D-12EA82412740}" name="Udledningsscenarie"/>
    <tableColumn id="4" xr3:uid="{21ABEDE8-8032-477D-AD2F-33F841E94B1A}" name="Tidsperiode"/>
    <tableColumn id="5" xr3:uid="{BDF493B2-4359-48C6-AE4F-036156BC88B5}" name="Median" dataDxfId="11"/>
    <tableColumn id="6" xr3:uid="{6FF27FB8-8910-4ACE-B5CF-FDFFB5AAC467}" name="10.pct" dataDxfId="10"/>
    <tableColumn id="7" xr3:uid="{E5A884DE-9111-4CDE-8F4E-3B15A2E43E58}" name="90.pct" dataDxfId="9"/>
    <tableColumn id="8" xr3:uid="{B40937C9-C17F-496D-9286-EB978367B402}" name="Enhed" dataDxfId="8"/>
    <tableColumn id="9" xr3:uid="{9A52A412-B73D-4FF8-AF88-B0AD2D61EBC9}" name="Ref2023" dataDxfId="7"/>
    <tableColumn id="10" xr3:uid="{CB79E1DD-D20E-4F3F-96CF-15A67CCF3306}" name="HighRef2023" dataDxfId="6">
      <calculatedColumnFormula>IF(Table4[[#This Row],[Ref2023]]&gt;Table4[[#This Row],[Median]],TRUE,FALSE)</calculatedColumnFormula>
    </tableColumn>
    <tableColumn id="14" xr3:uid="{95A4B43A-9E6E-447E-8D3C-7E47FF95B634}" name="fremskriv" dataDxfId="5">
      <calculatedColumnFormula>Table4[[#This Row],[Ref2023]]+Table4[[#This Row],[Median]]</calculatedColumnFormula>
    </tableColumn>
    <tableColumn id="11" xr3:uid="{2D87B58F-5B27-499E-9A0F-671C7D752700}" name="End" dataDxfId="4">
      <calculatedColumnFormula>CEILING(Table4[[#This Row],[Median]],5)</calculatedColumnFormula>
    </tableColumn>
    <tableColumn id="12" xr3:uid="{925E04AE-A954-45FC-A989-A99CCB1928E9}" name="Antal iterationer " totalsRowFunction="max" dataDxfId="3" totalsRowDxfId="2">
      <calculatedColumnFormula>(M76-$C$1)/$E$1+1</calculatedColumnFormula>
    </tableColumn>
    <tableColumn id="13" xr3:uid="{9B68219A-BD92-482C-9409-C2422ED5B20F}" name="Slutværdi" totalsRowFunction="max" dataDxfId="1" totalsRowDxfId="0">
      <calculatedColumnFormula>$C$1+((N76-1)*$E$1)</calculatedColumnFormula>
    </tableColumn>
  </tableColumns>
  <tableStyleInfo name="TableStyleMedium5"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6" Type="http://schemas.microsoft.com/office/2007/relationships/slicer" Target="../slicers/slicer1.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A295D-9798-4C78-846E-DD3CBAD6FBEA}">
  <dimension ref="A1:O112"/>
  <sheetViews>
    <sheetView tabSelected="1" workbookViewId="0">
      <selection activeCell="F22" sqref="F22"/>
    </sheetView>
  </sheetViews>
  <sheetFormatPr defaultRowHeight="14.25" x14ac:dyDescent="0.2"/>
  <cols>
    <col min="1" max="1" width="22.875" customWidth="1"/>
    <col min="2" max="2" width="23.5" customWidth="1"/>
    <col min="3" max="3" width="22.875" bestFit="1" customWidth="1"/>
    <col min="4" max="4" width="20.625" bestFit="1" customWidth="1"/>
    <col min="5" max="5" width="13.875" bestFit="1" customWidth="1"/>
    <col min="6" max="6" width="9.625" bestFit="1" customWidth="1"/>
    <col min="7" max="8" width="8.375" bestFit="1" customWidth="1"/>
    <col min="9" max="9" width="8.625" bestFit="1" customWidth="1"/>
    <col min="13" max="13" width="22.875" bestFit="1" customWidth="1"/>
    <col min="14" max="14" width="18.75" bestFit="1" customWidth="1"/>
  </cols>
  <sheetData>
    <row r="1" spans="1:15" x14ac:dyDescent="0.2">
      <c r="B1" t="s">
        <v>36</v>
      </c>
      <c r="C1">
        <v>100</v>
      </c>
      <c r="D1" t="s">
        <v>37</v>
      </c>
      <c r="E1">
        <v>1</v>
      </c>
    </row>
    <row r="4" spans="1:15" x14ac:dyDescent="0.2">
      <c r="A4" t="s">
        <v>20</v>
      </c>
      <c r="B4" t="s">
        <v>0</v>
      </c>
      <c r="C4" t="s">
        <v>1</v>
      </c>
      <c r="D4" t="s">
        <v>2</v>
      </c>
      <c r="E4" t="s">
        <v>3</v>
      </c>
      <c r="F4" t="s">
        <v>4</v>
      </c>
      <c r="G4" t="s">
        <v>5</v>
      </c>
      <c r="H4" t="s">
        <v>6</v>
      </c>
      <c r="I4" t="s">
        <v>7</v>
      </c>
      <c r="J4" t="s">
        <v>26</v>
      </c>
      <c r="K4" t="s">
        <v>27</v>
      </c>
      <c r="L4" t="s">
        <v>41</v>
      </c>
      <c r="M4" t="s">
        <v>35</v>
      </c>
      <c r="N4" t="s">
        <v>38</v>
      </c>
      <c r="O4" t="s">
        <v>39</v>
      </c>
    </row>
    <row r="5" spans="1:15" hidden="1" x14ac:dyDescent="0.2">
      <c r="B5" t="s">
        <v>8</v>
      </c>
      <c r="C5" t="s">
        <v>9</v>
      </c>
      <c r="D5" t="s">
        <v>12</v>
      </c>
      <c r="E5" t="s">
        <v>17</v>
      </c>
      <c r="F5" s="1">
        <v>205.72500001668899</v>
      </c>
      <c r="G5" s="1">
        <v>175.94740359584699</v>
      </c>
      <c r="H5" s="1">
        <v>239.93515939621801</v>
      </c>
      <c r="I5" t="s">
        <v>18</v>
      </c>
      <c r="J5" s="1">
        <v>216</v>
      </c>
      <c r="K5" s="1" t="b">
        <f>IF(Table1[[#This Row],[Ref2023]]&gt;Table1[[#This Row],[Median]],TRUE,FALSE)</f>
        <v>1</v>
      </c>
      <c r="L5" s="1">
        <f>Table1[[#This Row],[Ref2023]]+Table1[[#This Row],[Median]]</f>
        <v>421.72500001668902</v>
      </c>
      <c r="M5" s="1">
        <f>CEILING(Table1[[#This Row],[Median]],5)</f>
        <v>210</v>
      </c>
      <c r="N5" s="1">
        <f t="shared" ref="N5:N24" si="0">(M5-$C$1)/$E$1+1</f>
        <v>111</v>
      </c>
      <c r="O5" s="1">
        <f t="shared" ref="O5:O24" si="1">$C$1+((N5-1)*$E$1)</f>
        <v>210</v>
      </c>
    </row>
    <row r="6" spans="1:15" hidden="1" x14ac:dyDescent="0.2">
      <c r="B6" t="s">
        <v>8</v>
      </c>
      <c r="C6" t="s">
        <v>9</v>
      </c>
      <c r="D6" t="s">
        <v>13</v>
      </c>
      <c r="E6" t="s">
        <v>17</v>
      </c>
      <c r="F6" s="1">
        <v>209.37166660308799</v>
      </c>
      <c r="G6" s="1">
        <v>184.195843493745</v>
      </c>
      <c r="H6" s="1">
        <v>240.14431878491001</v>
      </c>
      <c r="I6" t="s">
        <v>18</v>
      </c>
      <c r="J6" s="1">
        <v>216</v>
      </c>
      <c r="K6" s="1" t="b">
        <f>IF(Table1[[#This Row],[Ref2023]]&gt;Table1[[#This Row],[Median]],TRUE,FALSE)</f>
        <v>1</v>
      </c>
      <c r="L6" s="1">
        <f>Table1[[#This Row],[Ref2023]]+Table1[[#This Row],[Median]]</f>
        <v>425.37166660308799</v>
      </c>
      <c r="M6" s="1">
        <f>CEILING(Table1[[#This Row],[Median]],5)</f>
        <v>210</v>
      </c>
      <c r="N6" s="1">
        <f t="shared" si="0"/>
        <v>111</v>
      </c>
      <c r="O6" s="1">
        <f t="shared" si="1"/>
        <v>210</v>
      </c>
    </row>
    <row r="7" spans="1:15" hidden="1" x14ac:dyDescent="0.2">
      <c r="B7" t="s">
        <v>8</v>
      </c>
      <c r="C7" t="s">
        <v>9</v>
      </c>
      <c r="D7" t="s">
        <v>14</v>
      </c>
      <c r="E7" t="s">
        <v>17</v>
      </c>
      <c r="F7" s="1">
        <v>217.260833909909</v>
      </c>
      <c r="G7" s="1">
        <v>191.23674986994101</v>
      </c>
      <c r="H7" s="1">
        <v>249.868064548749</v>
      </c>
      <c r="I7" t="s">
        <v>18</v>
      </c>
      <c r="J7" s="1">
        <v>216</v>
      </c>
      <c r="K7" s="1" t="b">
        <f>IF(Table1[[#This Row],[Ref2023]]&gt;Table1[[#This Row],[Median]],TRUE,FALSE)</f>
        <v>0</v>
      </c>
      <c r="L7" s="1">
        <f>Table1[[#This Row],[Ref2023]]+Table1[[#This Row],[Median]]</f>
        <v>433.26083390990902</v>
      </c>
      <c r="M7" s="1">
        <f>CEILING(Table1[[#This Row],[Median]],5)</f>
        <v>220</v>
      </c>
      <c r="N7" s="1">
        <f t="shared" si="0"/>
        <v>121</v>
      </c>
      <c r="O7" s="1">
        <f t="shared" si="1"/>
        <v>220</v>
      </c>
    </row>
    <row r="8" spans="1:15" hidden="1" x14ac:dyDescent="0.2">
      <c r="B8" t="s">
        <v>8</v>
      </c>
      <c r="C8" t="s">
        <v>9</v>
      </c>
      <c r="D8" t="s">
        <v>15</v>
      </c>
      <c r="E8" t="s">
        <v>17</v>
      </c>
      <c r="F8" s="1">
        <v>224.03333266258201</v>
      </c>
      <c r="G8" s="1">
        <v>199.658874127975</v>
      </c>
      <c r="H8" s="1">
        <v>256.82142282098698</v>
      </c>
      <c r="I8" t="s">
        <v>18</v>
      </c>
      <c r="J8" s="1">
        <v>216</v>
      </c>
      <c r="K8" s="1" t="b">
        <f>IF(Table1[[#This Row],[Ref2023]]&gt;Table1[[#This Row],[Median]],TRUE,FALSE)</f>
        <v>0</v>
      </c>
      <c r="L8" s="1">
        <f>Table1[[#This Row],[Ref2023]]+Table1[[#This Row],[Median]]</f>
        <v>440.03333266258198</v>
      </c>
      <c r="M8" s="1">
        <f>CEILING(Table1[[#This Row],[Median]],5)</f>
        <v>225</v>
      </c>
      <c r="N8" s="1">
        <f t="shared" si="0"/>
        <v>126</v>
      </c>
      <c r="O8" s="1">
        <f t="shared" si="1"/>
        <v>225</v>
      </c>
    </row>
    <row r="9" spans="1:15" hidden="1" x14ac:dyDescent="0.2">
      <c r="B9" t="s">
        <v>8</v>
      </c>
      <c r="C9" t="s">
        <v>9</v>
      </c>
      <c r="D9" t="s">
        <v>16</v>
      </c>
      <c r="E9" t="s">
        <v>17</v>
      </c>
      <c r="F9" s="1">
        <v>234.45000011205701</v>
      </c>
      <c r="G9" s="1">
        <v>203.68613961310899</v>
      </c>
      <c r="H9" s="1">
        <v>294.56405954077599</v>
      </c>
      <c r="I9" t="s">
        <v>18</v>
      </c>
      <c r="J9" s="1">
        <v>216</v>
      </c>
      <c r="K9" s="1" t="b">
        <f>IF(Table1[[#This Row],[Ref2023]]&gt;Table1[[#This Row],[Median]],TRUE,FALSE)</f>
        <v>0</v>
      </c>
      <c r="L9" s="1">
        <f>Table1[[#This Row],[Ref2023]]+Table1[[#This Row],[Median]]</f>
        <v>450.45000011205701</v>
      </c>
      <c r="M9" s="1">
        <f>CEILING(Table1[[#This Row],[Median]],5)</f>
        <v>235</v>
      </c>
      <c r="N9" s="1">
        <f t="shared" si="0"/>
        <v>136</v>
      </c>
      <c r="O9" s="1">
        <f t="shared" si="1"/>
        <v>235</v>
      </c>
    </row>
    <row r="10" spans="1:15" hidden="1" x14ac:dyDescent="0.2">
      <c r="B10" t="s">
        <v>8</v>
      </c>
      <c r="C10" t="s">
        <v>10</v>
      </c>
      <c r="D10" t="s">
        <v>12</v>
      </c>
      <c r="E10" t="s">
        <v>17</v>
      </c>
      <c r="F10" s="1">
        <v>216.72500001668899</v>
      </c>
      <c r="G10" s="1">
        <v>186.214609838071</v>
      </c>
      <c r="H10" s="1">
        <v>251.518447722395</v>
      </c>
      <c r="I10" t="s">
        <v>18</v>
      </c>
      <c r="J10" s="1">
        <v>216</v>
      </c>
      <c r="K10" s="1" t="b">
        <f>IF(Table1[[#This Row],[Ref2023]]&gt;Table1[[#This Row],[Median]],TRUE,FALSE)</f>
        <v>0</v>
      </c>
      <c r="L10" s="1">
        <f>Table1[[#This Row],[Ref2023]]+Table1[[#This Row],[Median]]</f>
        <v>432.72500001668902</v>
      </c>
      <c r="M10" s="1">
        <f>CEILING(Table1[[#This Row],[Median]],5)</f>
        <v>220</v>
      </c>
      <c r="N10" s="1">
        <f t="shared" si="0"/>
        <v>121</v>
      </c>
      <c r="O10" s="1">
        <f t="shared" si="1"/>
        <v>220</v>
      </c>
    </row>
    <row r="11" spans="1:15" hidden="1" x14ac:dyDescent="0.2">
      <c r="B11" t="s">
        <v>8</v>
      </c>
      <c r="C11" t="s">
        <v>10</v>
      </c>
      <c r="D11" t="s">
        <v>13</v>
      </c>
      <c r="E11" t="s">
        <v>17</v>
      </c>
      <c r="F11" s="1">
        <v>220.37166660308799</v>
      </c>
      <c r="G11" s="1">
        <v>194.333510245583</v>
      </c>
      <c r="H11" s="1">
        <v>251.791742678937</v>
      </c>
      <c r="I11" t="s">
        <v>18</v>
      </c>
      <c r="J11" s="1">
        <v>216</v>
      </c>
      <c r="K11" s="1" t="b">
        <f>IF(Table1[[#This Row],[Ref2023]]&gt;Table1[[#This Row],[Median]],TRUE,FALSE)</f>
        <v>0</v>
      </c>
      <c r="L11" s="1">
        <f>Table1[[#This Row],[Ref2023]]+Table1[[#This Row],[Median]]</f>
        <v>436.37166660308799</v>
      </c>
      <c r="M11" s="1">
        <f>CEILING(Table1[[#This Row],[Median]],5)</f>
        <v>225</v>
      </c>
      <c r="N11" s="1">
        <f t="shared" si="0"/>
        <v>126</v>
      </c>
      <c r="O11" s="1">
        <f t="shared" si="1"/>
        <v>225</v>
      </c>
    </row>
    <row r="12" spans="1:15" hidden="1" x14ac:dyDescent="0.2">
      <c r="B12" t="s">
        <v>8</v>
      </c>
      <c r="C12" t="s">
        <v>10</v>
      </c>
      <c r="D12" t="s">
        <v>14</v>
      </c>
      <c r="E12" t="s">
        <v>17</v>
      </c>
      <c r="F12" s="1">
        <v>228.260833909909</v>
      </c>
      <c r="G12" s="1">
        <v>201.40230973300999</v>
      </c>
      <c r="H12" s="1">
        <v>261.481341848856</v>
      </c>
      <c r="I12" t="s">
        <v>18</v>
      </c>
      <c r="J12" s="1">
        <v>216</v>
      </c>
      <c r="K12" s="1" t="b">
        <f>IF(Table1[[#This Row],[Ref2023]]&gt;Table1[[#This Row],[Median]],TRUE,FALSE)</f>
        <v>0</v>
      </c>
      <c r="L12" s="1">
        <f>Table1[[#This Row],[Ref2023]]+Table1[[#This Row],[Median]]</f>
        <v>444.26083390990902</v>
      </c>
      <c r="M12" s="1">
        <f>CEILING(Table1[[#This Row],[Median]],5)</f>
        <v>230</v>
      </c>
      <c r="N12" s="1">
        <f t="shared" si="0"/>
        <v>131</v>
      </c>
      <c r="O12" s="1">
        <f t="shared" si="1"/>
        <v>230</v>
      </c>
    </row>
    <row r="13" spans="1:15" hidden="1" x14ac:dyDescent="0.2">
      <c r="B13" t="s">
        <v>8</v>
      </c>
      <c r="C13" t="s">
        <v>10</v>
      </c>
      <c r="D13" t="s">
        <v>15</v>
      </c>
      <c r="E13" t="s">
        <v>17</v>
      </c>
      <c r="F13" s="1">
        <v>235.03333266258201</v>
      </c>
      <c r="G13" s="1">
        <v>209.76674022491599</v>
      </c>
      <c r="H13" s="1">
        <v>268.43492768569399</v>
      </c>
      <c r="I13" t="s">
        <v>18</v>
      </c>
      <c r="J13" s="1">
        <v>216</v>
      </c>
      <c r="K13" s="1" t="b">
        <f>IF(Table1[[#This Row],[Ref2023]]&gt;Table1[[#This Row],[Median]],TRUE,FALSE)</f>
        <v>0</v>
      </c>
      <c r="L13" s="1">
        <f>Table1[[#This Row],[Ref2023]]+Table1[[#This Row],[Median]]</f>
        <v>451.03333266258198</v>
      </c>
      <c r="M13" s="1">
        <f>CEILING(Table1[[#This Row],[Median]],5)</f>
        <v>240</v>
      </c>
      <c r="N13" s="1">
        <f t="shared" si="0"/>
        <v>141</v>
      </c>
      <c r="O13" s="1">
        <f t="shared" si="1"/>
        <v>240</v>
      </c>
    </row>
    <row r="14" spans="1:15" hidden="1" x14ac:dyDescent="0.2">
      <c r="B14" t="s">
        <v>8</v>
      </c>
      <c r="C14" t="s">
        <v>10</v>
      </c>
      <c r="D14" t="s">
        <v>16</v>
      </c>
      <c r="E14" t="s">
        <v>17</v>
      </c>
      <c r="F14" s="1">
        <v>245.45000011205701</v>
      </c>
      <c r="G14" s="1">
        <v>213.96805407896599</v>
      </c>
      <c r="H14" s="1">
        <v>305.90819771255599</v>
      </c>
      <c r="I14" t="s">
        <v>18</v>
      </c>
      <c r="J14" s="1">
        <v>216</v>
      </c>
      <c r="K14" s="1" t="b">
        <f>IF(Table1[[#This Row],[Ref2023]]&gt;Table1[[#This Row],[Median]],TRUE,FALSE)</f>
        <v>0</v>
      </c>
      <c r="L14" s="1">
        <f>Table1[[#This Row],[Ref2023]]+Table1[[#This Row],[Median]]</f>
        <v>461.45000011205701</v>
      </c>
      <c r="M14" s="1">
        <f>CEILING(Table1[[#This Row],[Median]],5)</f>
        <v>250</v>
      </c>
      <c r="N14" s="1">
        <f t="shared" si="0"/>
        <v>151</v>
      </c>
      <c r="O14" s="1">
        <f t="shared" si="1"/>
        <v>250</v>
      </c>
    </row>
    <row r="15" spans="1:15" hidden="1" x14ac:dyDescent="0.2">
      <c r="B15" t="s">
        <v>8</v>
      </c>
      <c r="C15" t="s">
        <v>11</v>
      </c>
      <c r="D15" t="s">
        <v>12</v>
      </c>
      <c r="E15" t="s">
        <v>17</v>
      </c>
      <c r="F15" s="1">
        <v>222.72500001668899</v>
      </c>
      <c r="G15" s="1">
        <v>191.806103478766</v>
      </c>
      <c r="H15" s="1">
        <v>258.58596242123599</v>
      </c>
      <c r="I15" t="s">
        <v>18</v>
      </c>
      <c r="J15" s="1">
        <v>216</v>
      </c>
      <c r="K15" s="1" t="b">
        <f>IF(Table1[[#This Row],[Ref2023]]&gt;Table1[[#This Row],[Median]],TRUE,FALSE)</f>
        <v>0</v>
      </c>
      <c r="L15" s="1">
        <f>Table1[[#This Row],[Ref2023]]+Table1[[#This Row],[Median]]</f>
        <v>438.72500001668902</v>
      </c>
      <c r="M15" s="1">
        <f>CEILING(Table1[[#This Row],[Median]],5)</f>
        <v>225</v>
      </c>
      <c r="N15" s="1">
        <f t="shared" si="0"/>
        <v>126</v>
      </c>
      <c r="O15" s="1">
        <f t="shared" si="1"/>
        <v>225</v>
      </c>
    </row>
    <row r="16" spans="1:15" hidden="1" x14ac:dyDescent="0.2">
      <c r="B16" t="s">
        <v>8</v>
      </c>
      <c r="C16" t="s">
        <v>11</v>
      </c>
      <c r="D16" t="s">
        <v>13</v>
      </c>
      <c r="E16" t="s">
        <v>17</v>
      </c>
      <c r="F16" s="1">
        <v>226.37166660308799</v>
      </c>
      <c r="G16" s="1">
        <v>199.856213019921</v>
      </c>
      <c r="H16" s="1">
        <v>258.97018496614498</v>
      </c>
      <c r="I16" t="s">
        <v>18</v>
      </c>
      <c r="J16" s="1">
        <v>216</v>
      </c>
      <c r="K16" s="1" t="b">
        <f>IF(Table1[[#This Row],[Ref2023]]&gt;Table1[[#This Row],[Median]],TRUE,FALSE)</f>
        <v>0</v>
      </c>
      <c r="L16" s="1">
        <f>Table1[[#This Row],[Ref2023]]+Table1[[#This Row],[Median]]</f>
        <v>442.37166660308799</v>
      </c>
      <c r="M16" s="1">
        <f>CEILING(Table1[[#This Row],[Median]],5)</f>
        <v>230</v>
      </c>
      <c r="N16" s="1">
        <f t="shared" si="0"/>
        <v>131</v>
      </c>
      <c r="O16" s="1">
        <f t="shared" si="1"/>
        <v>230</v>
      </c>
    </row>
    <row r="17" spans="1:15" hidden="1" x14ac:dyDescent="0.2">
      <c r="B17" t="s">
        <v>8</v>
      </c>
      <c r="C17" t="s">
        <v>11</v>
      </c>
      <c r="D17" t="s">
        <v>14</v>
      </c>
      <c r="E17" t="s">
        <v>17</v>
      </c>
      <c r="F17" s="1">
        <v>234.260833909909</v>
      </c>
      <c r="G17" s="1">
        <v>206.939673685169</v>
      </c>
      <c r="H17" s="1">
        <v>268.60070543130502</v>
      </c>
      <c r="I17" t="s">
        <v>18</v>
      </c>
      <c r="J17" s="1">
        <v>216</v>
      </c>
      <c r="K17" s="1" t="b">
        <f>IF(Table1[[#This Row],[Ref2023]]&gt;Table1[[#This Row],[Median]],TRUE,FALSE)</f>
        <v>0</v>
      </c>
      <c r="L17" s="1">
        <f>Table1[[#This Row],[Ref2023]]+Table1[[#This Row],[Median]]</f>
        <v>450.26083390990902</v>
      </c>
      <c r="M17" s="1">
        <f>CEILING(Table1[[#This Row],[Median]],5)</f>
        <v>235</v>
      </c>
      <c r="N17" s="1">
        <f t="shared" si="0"/>
        <v>136</v>
      </c>
      <c r="O17" s="1">
        <f t="shared" si="1"/>
        <v>235</v>
      </c>
    </row>
    <row r="18" spans="1:15" hidden="1" x14ac:dyDescent="0.2">
      <c r="B18" t="s">
        <v>8</v>
      </c>
      <c r="C18" t="s">
        <v>11</v>
      </c>
      <c r="D18" t="s">
        <v>15</v>
      </c>
      <c r="E18" t="s">
        <v>17</v>
      </c>
      <c r="F18" s="1">
        <v>241.03333266258201</v>
      </c>
      <c r="G18" s="1">
        <v>215.27392060080501</v>
      </c>
      <c r="H18" s="1">
        <v>275.55426388698203</v>
      </c>
      <c r="I18" t="s">
        <v>18</v>
      </c>
      <c r="J18" s="1">
        <v>216</v>
      </c>
      <c r="K18" s="1" t="b">
        <f>IF(Table1[[#This Row],[Ref2023]]&gt;Table1[[#This Row],[Median]],TRUE,FALSE)</f>
        <v>0</v>
      </c>
      <c r="L18" s="1">
        <f>Table1[[#This Row],[Ref2023]]+Table1[[#This Row],[Median]]</f>
        <v>457.03333266258198</v>
      </c>
      <c r="M18" s="1">
        <f>CEILING(Table1[[#This Row],[Median]],5)</f>
        <v>245</v>
      </c>
      <c r="N18" s="1">
        <f t="shared" si="0"/>
        <v>146</v>
      </c>
      <c r="O18" s="1">
        <f t="shared" si="1"/>
        <v>245</v>
      </c>
    </row>
    <row r="19" spans="1:15" hidden="1" x14ac:dyDescent="0.2">
      <c r="B19" t="s">
        <v>8</v>
      </c>
      <c r="C19" t="s">
        <v>11</v>
      </c>
      <c r="D19" t="s">
        <v>16</v>
      </c>
      <c r="E19" t="s">
        <v>17</v>
      </c>
      <c r="F19" s="1">
        <v>251.45000011205701</v>
      </c>
      <c r="G19" s="1">
        <v>219.56767104092901</v>
      </c>
      <c r="H19" s="1">
        <v>312.54744258589199</v>
      </c>
      <c r="I19" t="s">
        <v>18</v>
      </c>
      <c r="J19" s="1">
        <v>216</v>
      </c>
      <c r="K19" s="1" t="b">
        <f>IF(Table1[[#This Row],[Ref2023]]&gt;Table1[[#This Row],[Median]],TRUE,FALSE)</f>
        <v>0</v>
      </c>
      <c r="L19" s="1">
        <f>Table1[[#This Row],[Ref2023]]+Table1[[#This Row],[Median]]</f>
        <v>467.45000011205701</v>
      </c>
      <c r="M19" s="1">
        <f>CEILING(Table1[[#This Row],[Median]],5)</f>
        <v>255</v>
      </c>
      <c r="N19" s="1">
        <f t="shared" si="0"/>
        <v>156</v>
      </c>
      <c r="O19" s="1">
        <f t="shared" si="1"/>
        <v>255</v>
      </c>
    </row>
    <row r="20" spans="1:15" hidden="1" x14ac:dyDescent="0.2">
      <c r="B20" s="2" t="s">
        <v>8</v>
      </c>
      <c r="C20" s="2" t="s">
        <v>28</v>
      </c>
      <c r="D20" s="2" t="s">
        <v>12</v>
      </c>
      <c r="E20" s="3" t="s">
        <v>17</v>
      </c>
      <c r="F20" s="4">
        <v>36.425000016689303</v>
      </c>
      <c r="G20" s="4">
        <v>8.38528572232023</v>
      </c>
      <c r="H20" s="4">
        <v>69.421573486027498</v>
      </c>
      <c r="I20" s="2" t="s">
        <v>18</v>
      </c>
      <c r="J20" s="5">
        <v>216</v>
      </c>
      <c r="K20" s="5" t="b">
        <f>IF(Table1[[#This Row],[Ref2023]]&gt;Table1[[#This Row],[Median]],TRUE,FALSE)</f>
        <v>1</v>
      </c>
      <c r="L20" s="5">
        <f>Table1[[#This Row],[Ref2023]]+Table1[[#This Row],[Median]]</f>
        <v>252.4250000166893</v>
      </c>
      <c r="M20" s="1">
        <f>CEILING(Table1[[#This Row],[Median]],5)</f>
        <v>40</v>
      </c>
      <c r="N20" s="1">
        <f t="shared" si="0"/>
        <v>-59</v>
      </c>
      <c r="O20" s="1">
        <f t="shared" si="1"/>
        <v>40</v>
      </c>
    </row>
    <row r="21" spans="1:15" hidden="1" x14ac:dyDescent="0.2">
      <c r="B21" s="2" t="s">
        <v>8</v>
      </c>
      <c r="C21" s="2" t="s">
        <v>28</v>
      </c>
      <c r="D21" s="2" t="s">
        <v>13</v>
      </c>
      <c r="E21" s="3" t="s">
        <v>17</v>
      </c>
      <c r="F21" s="4">
        <v>40.071666603088403</v>
      </c>
      <c r="G21" s="4">
        <v>16.9773271564715</v>
      </c>
      <c r="H21" s="4">
        <v>69.488370922189702</v>
      </c>
      <c r="I21" s="2" t="s">
        <v>18</v>
      </c>
      <c r="J21" s="5">
        <v>216</v>
      </c>
      <c r="K21" s="5" t="b">
        <f>IF(Table1[[#This Row],[Ref2023]]&gt;Table1[[#This Row],[Median]],TRUE,FALSE)</f>
        <v>1</v>
      </c>
      <c r="L21" s="5">
        <f>Table1[[#This Row],[Ref2023]]+Table1[[#This Row],[Median]]</f>
        <v>256.07166660308837</v>
      </c>
      <c r="M21" s="1">
        <f>CEILING(Table1[[#This Row],[Median]],5)</f>
        <v>45</v>
      </c>
      <c r="N21" s="1">
        <f t="shared" si="0"/>
        <v>-54</v>
      </c>
      <c r="O21" s="1">
        <f t="shared" si="1"/>
        <v>45</v>
      </c>
    </row>
    <row r="22" spans="1:15" x14ac:dyDescent="0.2">
      <c r="B22" s="2" t="s">
        <v>8</v>
      </c>
      <c r="C22" s="2" t="s">
        <v>28</v>
      </c>
      <c r="D22" s="2" t="s">
        <v>14</v>
      </c>
      <c r="E22" s="3" t="s">
        <v>17</v>
      </c>
      <c r="F22" s="4">
        <v>47.960833909908899</v>
      </c>
      <c r="G22" s="4">
        <v>23.942335830619498</v>
      </c>
      <c r="H22" s="4">
        <v>79.287881622495206</v>
      </c>
      <c r="I22" s="2" t="s">
        <v>18</v>
      </c>
      <c r="J22" s="5">
        <v>216</v>
      </c>
      <c r="K22" s="5" t="b">
        <f>IF(Table1[[#This Row],[Ref2023]]&gt;Table1[[#This Row],[Median]],TRUE,FALSE)</f>
        <v>1</v>
      </c>
      <c r="L22" s="5">
        <f>Table1[[#This Row],[Ref2023]]+Table1[[#This Row],[Median]]</f>
        <v>263.9608339099089</v>
      </c>
      <c r="M22" s="1">
        <f>CEILING(Table1[[#This Row],[Median]],5)</f>
        <v>50</v>
      </c>
      <c r="N22" s="1">
        <f t="shared" si="0"/>
        <v>-49</v>
      </c>
      <c r="O22" s="1">
        <f t="shared" si="1"/>
        <v>50</v>
      </c>
    </row>
    <row r="23" spans="1:15" ht="15" hidden="1" customHeight="1" x14ac:dyDescent="0.2">
      <c r="B23" s="2" t="s">
        <v>8</v>
      </c>
      <c r="C23" s="2" t="s">
        <v>28</v>
      </c>
      <c r="D23" s="2" t="s">
        <v>15</v>
      </c>
      <c r="E23" s="3" t="s">
        <v>17</v>
      </c>
      <c r="F23" s="4">
        <v>54.733332662582399</v>
      </c>
      <c r="G23" s="4">
        <v>32.523331865961303</v>
      </c>
      <c r="H23" s="4">
        <v>86.240087211629302</v>
      </c>
      <c r="I23" s="2" t="s">
        <v>18</v>
      </c>
      <c r="J23" s="5">
        <v>216</v>
      </c>
      <c r="K23" s="5" t="b">
        <f>IF(Table1[[#This Row],[Ref2023]]&gt;Table1[[#This Row],[Median]],TRUE,FALSE)</f>
        <v>1</v>
      </c>
      <c r="L23" s="5">
        <f>Table1[[#This Row],[Ref2023]]+Table1[[#This Row],[Median]]</f>
        <v>270.73333266258237</v>
      </c>
      <c r="M23" s="1">
        <f>CEILING(Table1[[#This Row],[Median]],5)</f>
        <v>55</v>
      </c>
      <c r="N23" s="1">
        <f t="shared" si="0"/>
        <v>-44</v>
      </c>
      <c r="O23" s="1">
        <f t="shared" si="1"/>
        <v>55</v>
      </c>
    </row>
    <row r="24" spans="1:15" x14ac:dyDescent="0.2">
      <c r="B24" s="2" t="s">
        <v>8</v>
      </c>
      <c r="C24" s="2" t="s">
        <v>28</v>
      </c>
      <c r="D24" s="2" t="s">
        <v>16</v>
      </c>
      <c r="E24" s="3" t="s">
        <v>17</v>
      </c>
      <c r="F24" s="4">
        <v>65.150000112056702</v>
      </c>
      <c r="G24" s="4">
        <v>36.088635931716901</v>
      </c>
      <c r="H24" s="4">
        <v>124.560089467114</v>
      </c>
      <c r="I24" s="2" t="s">
        <v>18</v>
      </c>
      <c r="J24" s="5">
        <v>216</v>
      </c>
      <c r="K24" s="5" t="b">
        <f>IF(Table1[[#This Row],[Ref2023]]&gt;Table1[[#This Row],[Median]],TRUE,FALSE)</f>
        <v>1</v>
      </c>
      <c r="L24" s="5">
        <f>Table1[[#This Row],[Ref2023]]+Table1[[#This Row],[Median]]</f>
        <v>281.15000011205672</v>
      </c>
      <c r="M24" s="1">
        <f>CEILING(Table1[[#This Row],[Median]],5)</f>
        <v>70</v>
      </c>
      <c r="N24" s="1">
        <f t="shared" si="0"/>
        <v>-29</v>
      </c>
      <c r="O24" s="1">
        <f t="shared" si="1"/>
        <v>70</v>
      </c>
    </row>
    <row r="25" spans="1:15" ht="66.75" customHeight="1" x14ac:dyDescent="0.2">
      <c r="B25" t="s">
        <v>40</v>
      </c>
      <c r="N25" s="1">
        <f>SUBTOTAL(104,Table1[[Antal iterationer ]])</f>
        <v>-29</v>
      </c>
      <c r="O25" s="1">
        <f>SUBTOTAL(104,Table1[Slutværdi])</f>
        <v>70</v>
      </c>
    </row>
    <row r="26" spans="1:15" x14ac:dyDescent="0.2">
      <c r="A26" t="s">
        <v>21</v>
      </c>
    </row>
    <row r="27" spans="1:15" x14ac:dyDescent="0.2">
      <c r="B27" t="s">
        <v>0</v>
      </c>
      <c r="C27" t="s">
        <v>1</v>
      </c>
      <c r="D27" t="s">
        <v>2</v>
      </c>
      <c r="E27" t="s">
        <v>3</v>
      </c>
      <c r="F27" t="s">
        <v>4</v>
      </c>
      <c r="G27" t="s">
        <v>5</v>
      </c>
      <c r="H27" t="s">
        <v>6</v>
      </c>
      <c r="I27" t="s">
        <v>7</v>
      </c>
      <c r="J27" s="1" t="s">
        <v>26</v>
      </c>
      <c r="K27" t="s">
        <v>27</v>
      </c>
      <c r="L27" t="s">
        <v>41</v>
      </c>
      <c r="M27" t="s">
        <v>35</v>
      </c>
      <c r="N27" t="s">
        <v>38</v>
      </c>
      <c r="O27" t="s">
        <v>39</v>
      </c>
    </row>
    <row r="28" spans="1:15" hidden="1" x14ac:dyDescent="0.2">
      <c r="B28" t="s">
        <v>19</v>
      </c>
      <c r="C28" t="s">
        <v>9</v>
      </c>
      <c r="D28" t="s">
        <v>12</v>
      </c>
      <c r="E28" t="s">
        <v>17</v>
      </c>
      <c r="F28" s="1">
        <v>193.053333174388</v>
      </c>
      <c r="G28" s="1">
        <v>163.90108959701601</v>
      </c>
      <c r="H28" s="1">
        <v>226.982908172869</v>
      </c>
      <c r="I28" t="s">
        <v>18</v>
      </c>
      <c r="J28" s="1">
        <v>189</v>
      </c>
      <c r="K28" s="1" t="b">
        <f>IF(Table2[[#This Row],[Ref2023]]&gt;Table2[[#This Row],[Median]],TRUE,FALSE)</f>
        <v>0</v>
      </c>
      <c r="L28" s="1">
        <f>Table2[[#This Row],[Ref2023]]+Table2[[#This Row],[Median]]</f>
        <v>382.053333174388</v>
      </c>
      <c r="M28" s="1">
        <f>CEILING(Table2[[#This Row],[Median]],5)</f>
        <v>195</v>
      </c>
      <c r="N28" s="1">
        <f>(M28-$C$1)/$E$1+1</f>
        <v>96</v>
      </c>
      <c r="O28" s="1">
        <f t="shared" ref="O28:O47" si="2">$C$1+((N28-1)*$E$1)</f>
        <v>195</v>
      </c>
    </row>
    <row r="29" spans="1:15" hidden="1" x14ac:dyDescent="0.2">
      <c r="B29" t="s">
        <v>19</v>
      </c>
      <c r="C29" t="s">
        <v>9</v>
      </c>
      <c r="D29" t="s">
        <v>13</v>
      </c>
      <c r="E29" t="s">
        <v>17</v>
      </c>
      <c r="F29" s="1">
        <v>196.744999936422</v>
      </c>
      <c r="G29" s="1">
        <v>172.323206564071</v>
      </c>
      <c r="H29" s="1">
        <v>227.28621003050699</v>
      </c>
      <c r="I29" t="s">
        <v>18</v>
      </c>
      <c r="J29" s="1">
        <v>189</v>
      </c>
      <c r="K29" s="1" t="b">
        <f>IF(Table2[[#This Row],[Ref2023]]&gt;Table2[[#This Row],[Median]],TRUE,FALSE)</f>
        <v>0</v>
      </c>
      <c r="L29" s="1">
        <f>Table2[[#This Row],[Ref2023]]+Table2[[#This Row],[Median]]</f>
        <v>385.744999936422</v>
      </c>
      <c r="M29" s="1">
        <f>CEILING(Table2[[#This Row],[Median]],5)</f>
        <v>200</v>
      </c>
      <c r="N29" s="1">
        <f t="shared" ref="N29:N47" si="3">(M29-$C$1)/$E$1+1</f>
        <v>101</v>
      </c>
      <c r="O29" s="1">
        <f t="shared" si="2"/>
        <v>200</v>
      </c>
    </row>
    <row r="30" spans="1:15" hidden="1" x14ac:dyDescent="0.2">
      <c r="B30" t="s">
        <v>19</v>
      </c>
      <c r="C30" t="s">
        <v>9</v>
      </c>
      <c r="D30" t="s">
        <v>14</v>
      </c>
      <c r="E30" t="s">
        <v>17</v>
      </c>
      <c r="F30" s="1">
        <v>204.719167223771</v>
      </c>
      <c r="G30" s="1">
        <v>179.41349629417499</v>
      </c>
      <c r="H30" s="1">
        <v>237.09518115701101</v>
      </c>
      <c r="I30" t="s">
        <v>18</v>
      </c>
      <c r="J30" s="1">
        <v>189</v>
      </c>
      <c r="K30" s="1" t="b">
        <f>IF(Table2[[#This Row],[Ref2023]]&gt;Table2[[#This Row],[Median]],TRUE,FALSE)</f>
        <v>0</v>
      </c>
      <c r="L30" s="1">
        <f>Table2[[#This Row],[Ref2023]]+Table2[[#This Row],[Median]]</f>
        <v>393.71916722377102</v>
      </c>
      <c r="M30" s="1">
        <f>CEILING(Table2[[#This Row],[Median]],5)</f>
        <v>205</v>
      </c>
      <c r="N30" s="1">
        <f t="shared" si="3"/>
        <v>106</v>
      </c>
      <c r="O30" s="1">
        <f t="shared" si="2"/>
        <v>205</v>
      </c>
    </row>
    <row r="31" spans="1:15" hidden="1" x14ac:dyDescent="0.2">
      <c r="B31" t="s">
        <v>19</v>
      </c>
      <c r="C31" t="s">
        <v>9</v>
      </c>
      <c r="D31" t="s">
        <v>15</v>
      </c>
      <c r="E31" t="s">
        <v>17</v>
      </c>
      <c r="F31" s="1">
        <v>211.561665974259</v>
      </c>
      <c r="G31" s="1">
        <v>187.93334440196699</v>
      </c>
      <c r="H31" s="1">
        <v>243.96447150355999</v>
      </c>
      <c r="I31" t="s">
        <v>18</v>
      </c>
      <c r="J31" s="1">
        <v>189</v>
      </c>
      <c r="K31" s="1" t="b">
        <f>IF(Table2[[#This Row],[Ref2023]]&gt;Table2[[#This Row],[Median]],TRUE,FALSE)</f>
        <v>0</v>
      </c>
      <c r="L31" s="1">
        <f>Table2[[#This Row],[Ref2023]]+Table2[[#This Row],[Median]]</f>
        <v>400.56166597425897</v>
      </c>
      <c r="M31" s="1">
        <f>CEILING(Table2[[#This Row],[Median]],5)</f>
        <v>215</v>
      </c>
      <c r="N31" s="1">
        <f t="shared" si="3"/>
        <v>116</v>
      </c>
      <c r="O31" s="1">
        <f t="shared" si="2"/>
        <v>215</v>
      </c>
    </row>
    <row r="32" spans="1:15" hidden="1" x14ac:dyDescent="0.2">
      <c r="B32" t="s">
        <v>19</v>
      </c>
      <c r="C32" t="s">
        <v>9</v>
      </c>
      <c r="D32" t="s">
        <v>16</v>
      </c>
      <c r="E32" t="s">
        <v>17</v>
      </c>
      <c r="F32" s="1">
        <v>222.259999512831</v>
      </c>
      <c r="G32" s="1">
        <v>192.116363439135</v>
      </c>
      <c r="H32" s="1">
        <v>282.294072911748</v>
      </c>
      <c r="I32" t="s">
        <v>18</v>
      </c>
      <c r="J32" s="1">
        <v>189</v>
      </c>
      <c r="K32" s="1" t="b">
        <f>IF(Table2[[#This Row],[Ref2023]]&gt;Table2[[#This Row],[Median]],TRUE,FALSE)</f>
        <v>0</v>
      </c>
      <c r="L32" s="1">
        <f>Table2[[#This Row],[Ref2023]]+Table2[[#This Row],[Median]]</f>
        <v>411.25999951283097</v>
      </c>
      <c r="M32" s="1">
        <f>CEILING(Table2[[#This Row],[Median]],5)</f>
        <v>225</v>
      </c>
      <c r="N32" s="1">
        <f t="shared" si="3"/>
        <v>126</v>
      </c>
      <c r="O32" s="1">
        <f t="shared" si="2"/>
        <v>225</v>
      </c>
    </row>
    <row r="33" spans="2:15" hidden="1" x14ac:dyDescent="0.2">
      <c r="B33" t="s">
        <v>19</v>
      </c>
      <c r="C33" t="s">
        <v>10</v>
      </c>
      <c r="D33" t="s">
        <v>12</v>
      </c>
      <c r="E33" t="s">
        <v>17</v>
      </c>
      <c r="F33" s="1">
        <v>205.053333174388</v>
      </c>
      <c r="G33" s="1">
        <v>175.28733864991</v>
      </c>
      <c r="H33" s="1">
        <v>239.512623102422</v>
      </c>
      <c r="I33" t="s">
        <v>18</v>
      </c>
      <c r="J33" s="1">
        <v>189</v>
      </c>
      <c r="K33" s="1" t="b">
        <f>IF(Table2[[#This Row],[Ref2023]]&gt;Table2[[#This Row],[Median]],TRUE,FALSE)</f>
        <v>0</v>
      </c>
      <c r="L33" s="1">
        <f>Table2[[#This Row],[Ref2023]]+Table2[[#This Row],[Median]]</f>
        <v>394.053333174388</v>
      </c>
      <c r="M33" s="1">
        <f>CEILING(Table2[[#This Row],[Median]],5)</f>
        <v>210</v>
      </c>
      <c r="N33" s="1">
        <f t="shared" si="3"/>
        <v>111</v>
      </c>
      <c r="O33" s="1">
        <f t="shared" si="2"/>
        <v>210</v>
      </c>
    </row>
    <row r="34" spans="2:15" hidden="1" x14ac:dyDescent="0.2">
      <c r="B34" t="s">
        <v>19</v>
      </c>
      <c r="C34" t="s">
        <v>10</v>
      </c>
      <c r="D34" t="s">
        <v>13</v>
      </c>
      <c r="E34" t="s">
        <v>17</v>
      </c>
      <c r="F34" s="1">
        <v>208.744999936422</v>
      </c>
      <c r="G34" s="1">
        <v>183.593985636567</v>
      </c>
      <c r="H34" s="1">
        <v>239.874027646169</v>
      </c>
      <c r="I34" t="s">
        <v>18</v>
      </c>
      <c r="J34" s="1">
        <v>189</v>
      </c>
      <c r="K34" s="1" t="b">
        <f>IF(Table2[[#This Row],[Ref2023]]&gt;Table2[[#This Row],[Median]],TRUE,FALSE)</f>
        <v>0</v>
      </c>
      <c r="L34" s="1">
        <f>Table2[[#This Row],[Ref2023]]+Table2[[#This Row],[Median]]</f>
        <v>397.744999936422</v>
      </c>
      <c r="M34" s="1">
        <f>CEILING(Table2[[#This Row],[Median]],5)</f>
        <v>210</v>
      </c>
      <c r="N34" s="1">
        <f t="shared" si="3"/>
        <v>111</v>
      </c>
      <c r="O34" s="1">
        <f t="shared" si="2"/>
        <v>210</v>
      </c>
    </row>
    <row r="35" spans="2:15" hidden="1" x14ac:dyDescent="0.2">
      <c r="B35" t="s">
        <v>19</v>
      </c>
      <c r="C35" t="s">
        <v>10</v>
      </c>
      <c r="D35" t="s">
        <v>14</v>
      </c>
      <c r="E35" t="s">
        <v>17</v>
      </c>
      <c r="F35" s="1">
        <v>216.719167223771</v>
      </c>
      <c r="G35" s="1">
        <v>190.709723468433</v>
      </c>
      <c r="H35" s="1">
        <v>249.65174887993899</v>
      </c>
      <c r="I35" t="s">
        <v>18</v>
      </c>
      <c r="J35" s="1">
        <v>189</v>
      </c>
      <c r="K35" s="1" t="b">
        <f>IF(Table2[[#This Row],[Ref2023]]&gt;Table2[[#This Row],[Median]],TRUE,FALSE)</f>
        <v>0</v>
      </c>
      <c r="L35" s="1">
        <f>Table2[[#This Row],[Ref2023]]+Table2[[#This Row],[Median]]</f>
        <v>405.71916722377102</v>
      </c>
      <c r="M35" s="1">
        <f>CEILING(Table2[[#This Row],[Median]],5)</f>
        <v>220</v>
      </c>
      <c r="N35" s="1">
        <f t="shared" si="3"/>
        <v>121</v>
      </c>
      <c r="O35" s="1">
        <f t="shared" si="2"/>
        <v>220</v>
      </c>
    </row>
    <row r="36" spans="2:15" hidden="1" x14ac:dyDescent="0.2">
      <c r="B36" t="s">
        <v>19</v>
      </c>
      <c r="C36" t="s">
        <v>10</v>
      </c>
      <c r="D36" t="s">
        <v>15</v>
      </c>
      <c r="E36" t="s">
        <v>17</v>
      </c>
      <c r="F36" s="1">
        <v>223.561665974259</v>
      </c>
      <c r="G36" s="1">
        <v>199.177983222016</v>
      </c>
      <c r="H36" s="1">
        <v>256.52387876990201</v>
      </c>
      <c r="I36" t="s">
        <v>18</v>
      </c>
      <c r="J36" s="1">
        <v>189</v>
      </c>
      <c r="K36" s="1" t="b">
        <f>IF(Table2[[#This Row],[Ref2023]]&gt;Table2[[#This Row],[Median]],TRUE,FALSE)</f>
        <v>0</v>
      </c>
      <c r="L36" s="1">
        <f>Table2[[#This Row],[Ref2023]]+Table2[[#This Row],[Median]]</f>
        <v>412.56166597425897</v>
      </c>
      <c r="M36" s="1">
        <f>CEILING(Table2[[#This Row],[Median]],5)</f>
        <v>225</v>
      </c>
      <c r="N36" s="1">
        <f t="shared" si="3"/>
        <v>126</v>
      </c>
      <c r="O36" s="1">
        <f t="shared" si="2"/>
        <v>225</v>
      </c>
    </row>
    <row r="37" spans="2:15" hidden="1" x14ac:dyDescent="0.2">
      <c r="B37" t="s">
        <v>19</v>
      </c>
      <c r="C37" t="s">
        <v>10</v>
      </c>
      <c r="D37" t="s">
        <v>16</v>
      </c>
      <c r="E37" t="s">
        <v>17</v>
      </c>
      <c r="F37" s="1">
        <v>234.259999512831</v>
      </c>
      <c r="G37" s="1">
        <v>203.51513265034799</v>
      </c>
      <c r="H37" s="1">
        <v>294.60461157497099</v>
      </c>
      <c r="I37" t="s">
        <v>18</v>
      </c>
      <c r="J37" s="1">
        <v>189</v>
      </c>
      <c r="K37" s="1" t="b">
        <f>IF(Table2[[#This Row],[Ref2023]]&gt;Table2[[#This Row],[Median]],TRUE,FALSE)</f>
        <v>0</v>
      </c>
      <c r="L37" s="1">
        <f>Table2[[#This Row],[Ref2023]]+Table2[[#This Row],[Median]]</f>
        <v>423.25999951283097</v>
      </c>
      <c r="M37" s="1">
        <f>CEILING(Table2[[#This Row],[Median]],5)</f>
        <v>235</v>
      </c>
      <c r="N37" s="1">
        <f t="shared" si="3"/>
        <v>136</v>
      </c>
      <c r="O37" s="1">
        <f t="shared" si="2"/>
        <v>235</v>
      </c>
    </row>
    <row r="38" spans="2:15" hidden="1" x14ac:dyDescent="0.2">
      <c r="B38" t="s">
        <v>19</v>
      </c>
      <c r="C38" t="s">
        <v>11</v>
      </c>
      <c r="D38" t="s">
        <v>12</v>
      </c>
      <c r="E38" t="s">
        <v>17</v>
      </c>
      <c r="F38" s="1">
        <v>213.053333174388</v>
      </c>
      <c r="G38" s="1">
        <v>182.55424195728099</v>
      </c>
      <c r="H38" s="1">
        <v>248.148936950874</v>
      </c>
      <c r="I38" t="s">
        <v>18</v>
      </c>
      <c r="J38" s="1">
        <v>189</v>
      </c>
      <c r="K38" s="1" t="b">
        <f>IF(Table2[[#This Row],[Ref2023]]&gt;Table2[[#This Row],[Median]],TRUE,FALSE)</f>
        <v>0</v>
      </c>
      <c r="L38" s="1">
        <f>Table2[[#This Row],[Ref2023]]+Table2[[#This Row],[Median]]</f>
        <v>402.053333174388</v>
      </c>
      <c r="M38" s="1">
        <f>CEILING(Table2[[#This Row],[Median]],5)</f>
        <v>215</v>
      </c>
      <c r="N38" s="1">
        <f t="shared" si="3"/>
        <v>116</v>
      </c>
      <c r="O38" s="1">
        <f t="shared" si="2"/>
        <v>215</v>
      </c>
    </row>
    <row r="39" spans="2:15" hidden="1" x14ac:dyDescent="0.2">
      <c r="B39" t="s">
        <v>19</v>
      </c>
      <c r="C39" t="s">
        <v>11</v>
      </c>
      <c r="D39" t="s">
        <v>13</v>
      </c>
      <c r="E39" t="s">
        <v>17</v>
      </c>
      <c r="F39" s="1">
        <v>216.744999936422</v>
      </c>
      <c r="G39" s="1">
        <v>190.73088097048</v>
      </c>
      <c r="H39" s="1">
        <v>248.57734640472501</v>
      </c>
      <c r="I39" t="s">
        <v>18</v>
      </c>
      <c r="J39" s="1">
        <v>189</v>
      </c>
      <c r="K39" s="1" t="b">
        <f>IF(Table2[[#This Row],[Ref2023]]&gt;Table2[[#This Row],[Median]],TRUE,FALSE)</f>
        <v>0</v>
      </c>
      <c r="L39" s="1">
        <f>Table2[[#This Row],[Ref2023]]+Table2[[#This Row],[Median]]</f>
        <v>405.744999936422</v>
      </c>
      <c r="M39" s="1">
        <f>CEILING(Table2[[#This Row],[Median]],5)</f>
        <v>220</v>
      </c>
      <c r="N39" s="1">
        <f t="shared" si="3"/>
        <v>121</v>
      </c>
      <c r="O39" s="1">
        <f t="shared" si="2"/>
        <v>220</v>
      </c>
    </row>
    <row r="40" spans="2:15" hidden="1" x14ac:dyDescent="0.2">
      <c r="B40" t="s">
        <v>19</v>
      </c>
      <c r="C40" t="s">
        <v>11</v>
      </c>
      <c r="D40" t="s">
        <v>14</v>
      </c>
      <c r="E40" t="s">
        <v>17</v>
      </c>
      <c r="F40" s="1">
        <v>224.719167223771</v>
      </c>
      <c r="G40" s="1">
        <v>197.874899218602</v>
      </c>
      <c r="H40" s="1">
        <v>258.31901269030402</v>
      </c>
      <c r="I40" t="s">
        <v>18</v>
      </c>
      <c r="J40" s="1">
        <v>189</v>
      </c>
      <c r="K40" s="1" t="b">
        <f>IF(Table2[[#This Row],[Ref2023]]&gt;Table2[[#This Row],[Median]],TRUE,FALSE)</f>
        <v>0</v>
      </c>
      <c r="L40" s="1">
        <f>Table2[[#This Row],[Ref2023]]+Table2[[#This Row],[Median]]</f>
        <v>413.71916722377102</v>
      </c>
      <c r="M40" s="1">
        <f>CEILING(Table2[[#This Row],[Median]],5)</f>
        <v>225</v>
      </c>
      <c r="N40" s="1">
        <f t="shared" si="3"/>
        <v>126</v>
      </c>
      <c r="O40" s="1">
        <f t="shared" si="2"/>
        <v>225</v>
      </c>
    </row>
    <row r="41" spans="2:15" hidden="1" x14ac:dyDescent="0.2">
      <c r="B41" t="s">
        <v>19</v>
      </c>
      <c r="C41" t="s">
        <v>11</v>
      </c>
      <c r="D41" t="s">
        <v>15</v>
      </c>
      <c r="E41" t="s">
        <v>17</v>
      </c>
      <c r="F41" s="1">
        <v>231.561665974259</v>
      </c>
      <c r="G41" s="1">
        <v>206.286171460053</v>
      </c>
      <c r="H41" s="1">
        <v>265.19422928446198</v>
      </c>
      <c r="I41" t="s">
        <v>18</v>
      </c>
      <c r="J41" s="1">
        <v>189</v>
      </c>
      <c r="K41" s="1" t="b">
        <f>IF(Table2[[#This Row],[Ref2023]]&gt;Table2[[#This Row],[Median]],TRUE,FALSE)</f>
        <v>0</v>
      </c>
      <c r="L41" s="1">
        <f>Table2[[#This Row],[Ref2023]]+Table2[[#This Row],[Median]]</f>
        <v>420.56166597425897</v>
      </c>
      <c r="M41" s="1">
        <f>CEILING(Table2[[#This Row],[Median]],5)</f>
        <v>235</v>
      </c>
      <c r="N41" s="1">
        <f t="shared" si="3"/>
        <v>136</v>
      </c>
      <c r="O41" s="1">
        <f t="shared" si="2"/>
        <v>235</v>
      </c>
    </row>
    <row r="42" spans="2:15" hidden="1" x14ac:dyDescent="0.2">
      <c r="B42" t="s">
        <v>19</v>
      </c>
      <c r="C42" t="s">
        <v>11</v>
      </c>
      <c r="D42" t="s">
        <v>16</v>
      </c>
      <c r="E42" t="s">
        <v>17</v>
      </c>
      <c r="F42" s="1">
        <v>242.259999512831</v>
      </c>
      <c r="G42" s="1">
        <v>210.796834536614</v>
      </c>
      <c r="H42" s="1">
        <v>302.98166308888199</v>
      </c>
      <c r="I42" t="s">
        <v>18</v>
      </c>
      <c r="J42" s="1">
        <v>189</v>
      </c>
      <c r="K42" s="1" t="b">
        <f>IF(Table2[[#This Row],[Ref2023]]&gt;Table2[[#This Row],[Median]],TRUE,FALSE)</f>
        <v>0</v>
      </c>
      <c r="L42" s="1">
        <f>Table2[[#This Row],[Ref2023]]+Table2[[#This Row],[Median]]</f>
        <v>431.25999951283097</v>
      </c>
      <c r="M42" s="1">
        <f>CEILING(Table2[[#This Row],[Median]],5)</f>
        <v>245</v>
      </c>
      <c r="N42" s="1">
        <f t="shared" si="3"/>
        <v>146</v>
      </c>
      <c r="O42" s="1">
        <f t="shared" si="2"/>
        <v>245</v>
      </c>
    </row>
    <row r="43" spans="2:15" hidden="1" x14ac:dyDescent="0.2">
      <c r="B43" t="s">
        <v>19</v>
      </c>
      <c r="C43" t="s">
        <v>28</v>
      </c>
      <c r="D43" t="s">
        <v>12</v>
      </c>
      <c r="E43" t="s">
        <v>17</v>
      </c>
      <c r="F43" s="6">
        <v>34.8533331743876</v>
      </c>
      <c r="G43" s="6">
        <v>6.8260124232283301</v>
      </c>
      <c r="H43" s="6">
        <v>67.819612381227103</v>
      </c>
      <c r="I43" t="s">
        <v>18</v>
      </c>
      <c r="J43" s="1">
        <v>189</v>
      </c>
      <c r="K43" s="1" t="b">
        <f>IF(Table2[[#This Row],[Ref2023]]&gt;Table2[[#This Row],[Median]],TRUE,FALSE)</f>
        <v>1</v>
      </c>
      <c r="L43" s="1">
        <f>Table2[[#This Row],[Ref2023]]+Table2[[#This Row],[Median]]</f>
        <v>223.85333317438761</v>
      </c>
      <c r="M43" s="1">
        <f>CEILING(Table2[[#This Row],[Median]],5)</f>
        <v>35</v>
      </c>
      <c r="N43" s="1">
        <f t="shared" si="3"/>
        <v>-64</v>
      </c>
      <c r="O43" s="1">
        <f t="shared" si="2"/>
        <v>35</v>
      </c>
    </row>
    <row r="44" spans="2:15" hidden="1" x14ac:dyDescent="0.2">
      <c r="B44" t="s">
        <v>19</v>
      </c>
      <c r="C44" t="s">
        <v>28</v>
      </c>
      <c r="D44" t="s">
        <v>13</v>
      </c>
      <c r="E44" t="s">
        <v>17</v>
      </c>
      <c r="F44" s="6">
        <v>38.544999936421704</v>
      </c>
      <c r="G44" s="6">
        <v>15.477549198482899</v>
      </c>
      <c r="H44" s="6">
        <v>68.011369476031305</v>
      </c>
      <c r="I44" t="s">
        <v>18</v>
      </c>
      <c r="J44" s="1">
        <v>189</v>
      </c>
      <c r="K44" s="1" t="b">
        <f>IF(Table2[[#This Row],[Ref2023]]&gt;Table2[[#This Row],[Median]],TRUE,FALSE)</f>
        <v>1</v>
      </c>
      <c r="L44" s="1">
        <f>Table2[[#This Row],[Ref2023]]+Table2[[#This Row],[Median]]</f>
        <v>227.5449999364217</v>
      </c>
      <c r="M44" s="1">
        <f>CEILING(Table2[[#This Row],[Median]],5)</f>
        <v>40</v>
      </c>
      <c r="N44" s="1">
        <f t="shared" si="3"/>
        <v>-59</v>
      </c>
      <c r="O44" s="1">
        <f t="shared" si="2"/>
        <v>40</v>
      </c>
    </row>
    <row r="45" spans="2:15" x14ac:dyDescent="0.2">
      <c r="B45" t="s">
        <v>19</v>
      </c>
      <c r="C45" t="s">
        <v>28</v>
      </c>
      <c r="D45" t="s">
        <v>14</v>
      </c>
      <c r="E45" t="s">
        <v>17</v>
      </c>
      <c r="F45" s="6">
        <v>46.519167223771397</v>
      </c>
      <c r="G45" s="6">
        <v>22.516307397399199</v>
      </c>
      <c r="H45" s="6">
        <v>77.880294358606605</v>
      </c>
      <c r="I45" t="s">
        <v>18</v>
      </c>
      <c r="J45" s="1">
        <v>189</v>
      </c>
      <c r="K45" s="1" t="b">
        <f>IF(Table2[[#This Row],[Ref2023]]&gt;Table2[[#This Row],[Median]],TRUE,FALSE)</f>
        <v>1</v>
      </c>
      <c r="L45" s="1">
        <f>Table2[[#This Row],[Ref2023]]+Table2[[#This Row],[Median]]</f>
        <v>235.5191672237714</v>
      </c>
      <c r="M45" s="1">
        <f>CEILING(Table2[[#This Row],[Median]],5)</f>
        <v>50</v>
      </c>
      <c r="N45" s="1">
        <f t="shared" si="3"/>
        <v>-49</v>
      </c>
      <c r="O45" s="1">
        <f t="shared" si="2"/>
        <v>50</v>
      </c>
    </row>
    <row r="46" spans="2:15" hidden="1" x14ac:dyDescent="0.2">
      <c r="B46" t="s">
        <v>19</v>
      </c>
      <c r="C46" t="s">
        <v>28</v>
      </c>
      <c r="D46" t="s">
        <v>15</v>
      </c>
      <c r="E46" t="s">
        <v>17</v>
      </c>
      <c r="F46" s="6">
        <v>53.361665974259402</v>
      </c>
      <c r="G46" s="6">
        <v>31.141557145500801</v>
      </c>
      <c r="H46" s="6">
        <v>84.743703443048702</v>
      </c>
      <c r="I46" t="s">
        <v>18</v>
      </c>
      <c r="J46" s="1">
        <v>189</v>
      </c>
      <c r="K46" s="1" t="b">
        <f>IF(Table2[[#This Row],[Ref2023]]&gt;Table2[[#This Row],[Median]],TRUE,FALSE)</f>
        <v>1</v>
      </c>
      <c r="L46" s="1">
        <f>Table2[[#This Row],[Ref2023]]+Table2[[#This Row],[Median]]</f>
        <v>242.36166597425941</v>
      </c>
      <c r="M46" s="1">
        <f>CEILING(Table2[[#This Row],[Median]],5)</f>
        <v>55</v>
      </c>
      <c r="N46" s="1">
        <f t="shared" si="3"/>
        <v>-44</v>
      </c>
      <c r="O46" s="1">
        <f t="shared" si="2"/>
        <v>55</v>
      </c>
    </row>
    <row r="47" spans="2:15" ht="16.5" customHeight="1" x14ac:dyDescent="0.2">
      <c r="B47" t="s">
        <v>19</v>
      </c>
      <c r="C47" t="s">
        <v>28</v>
      </c>
      <c r="D47" t="s">
        <v>16</v>
      </c>
      <c r="E47" t="s">
        <v>17</v>
      </c>
      <c r="F47" s="6">
        <v>64.059999512831396</v>
      </c>
      <c r="G47" s="6">
        <v>35.018109958688001</v>
      </c>
      <c r="H47" s="6">
        <v>123.53734049918199</v>
      </c>
      <c r="I47" t="s">
        <v>18</v>
      </c>
      <c r="J47" s="1">
        <v>189</v>
      </c>
      <c r="K47" s="1" t="b">
        <f>IF(Table2[[#This Row],[Ref2023]]&gt;Table2[[#This Row],[Median]],TRUE,FALSE)</f>
        <v>1</v>
      </c>
      <c r="L47" s="1">
        <f>Table2[[#This Row],[Ref2023]]+Table2[[#This Row],[Median]]</f>
        <v>253.05999951283138</v>
      </c>
      <c r="M47" s="1">
        <f>CEILING(Table2[[#This Row],[Median]],5)</f>
        <v>65</v>
      </c>
      <c r="N47" s="1">
        <f t="shared" si="3"/>
        <v>-34</v>
      </c>
      <c r="O47" s="1">
        <f t="shared" si="2"/>
        <v>65</v>
      </c>
    </row>
    <row r="48" spans="2:15" ht="69" customHeight="1" x14ac:dyDescent="0.2">
      <c r="B48" t="s">
        <v>40</v>
      </c>
      <c r="N48" s="1">
        <f>SUBTOTAL(104,Table2[[Antal iterationer ]])</f>
        <v>-34</v>
      </c>
      <c r="O48" s="1">
        <f>SUBTOTAL(104,Table2[Slutværdi])</f>
        <v>65</v>
      </c>
    </row>
    <row r="49" spans="1:15" x14ac:dyDescent="0.2">
      <c r="F49" s="6"/>
      <c r="G49" s="6"/>
      <c r="H49" s="6"/>
      <c r="J49" s="1"/>
      <c r="K49" s="1"/>
      <c r="L49" s="1"/>
      <c r="M49" s="1"/>
      <c r="N49" s="1"/>
    </row>
    <row r="51" spans="1:15" x14ac:dyDescent="0.2">
      <c r="A51" t="s">
        <v>22</v>
      </c>
      <c r="B51" t="s">
        <v>0</v>
      </c>
      <c r="C51" t="s">
        <v>1</v>
      </c>
      <c r="D51" t="s">
        <v>2</v>
      </c>
      <c r="E51" t="s">
        <v>3</v>
      </c>
      <c r="F51" t="s">
        <v>4</v>
      </c>
      <c r="G51" t="s">
        <v>5</v>
      </c>
      <c r="H51" t="s">
        <v>6</v>
      </c>
      <c r="I51" t="s">
        <v>7</v>
      </c>
      <c r="J51" t="s">
        <v>26</v>
      </c>
      <c r="K51" t="s">
        <v>27</v>
      </c>
      <c r="L51" t="s">
        <v>41</v>
      </c>
      <c r="M51" t="s">
        <v>35</v>
      </c>
      <c r="N51" t="s">
        <v>38</v>
      </c>
      <c r="O51" t="s">
        <v>39</v>
      </c>
    </row>
    <row r="52" spans="1:15" hidden="1" x14ac:dyDescent="0.2">
      <c r="B52" t="s">
        <v>23</v>
      </c>
      <c r="C52" t="s">
        <v>9</v>
      </c>
      <c r="D52" t="s">
        <v>12</v>
      </c>
      <c r="E52" t="s">
        <v>17</v>
      </c>
      <c r="F52" s="9">
        <v>178.875966319442</v>
      </c>
      <c r="G52" s="1">
        <v>147.53209037019599</v>
      </c>
      <c r="H52" s="1">
        <v>214.718951958871</v>
      </c>
      <c r="I52" t="s">
        <v>18</v>
      </c>
      <c r="J52" s="1">
        <v>200</v>
      </c>
      <c r="K52" s="1" t="b">
        <f>IF(Table3[[#This Row],[Ref2023]]&gt;Table3[[#This Row],[Median]],TRUE,FALSE)</f>
        <v>1</v>
      </c>
      <c r="L52" s="1">
        <f>Table3[[#This Row],[Ref2023]]+Table3[[#This Row],[Median]]</f>
        <v>378.875966319442</v>
      </c>
      <c r="M52" s="1">
        <f>CEILING(Table3[[#This Row],[Median]],5)</f>
        <v>180</v>
      </c>
      <c r="N52" s="1">
        <f t="shared" ref="N52:N71" si="4">(M52-$C$1)/$E$1+1</f>
        <v>81</v>
      </c>
      <c r="O52" s="1">
        <f t="shared" ref="O52:O71" si="5">$C$1+((N52-1)*$E$1)</f>
        <v>180</v>
      </c>
    </row>
    <row r="53" spans="1:15" hidden="1" x14ac:dyDescent="0.2">
      <c r="B53" t="s">
        <v>23</v>
      </c>
      <c r="C53" t="s">
        <v>9</v>
      </c>
      <c r="D53" t="s">
        <v>13</v>
      </c>
      <c r="E53" t="s">
        <v>17</v>
      </c>
      <c r="F53" s="9">
        <v>182.38931662341</v>
      </c>
      <c r="G53" s="1">
        <v>155.39032770290399</v>
      </c>
      <c r="H53" s="1">
        <v>214.93877482329401</v>
      </c>
      <c r="I53" t="s">
        <v>18</v>
      </c>
      <c r="J53" s="1">
        <v>200</v>
      </c>
      <c r="K53" s="1" t="b">
        <f>IF(Table3[[#This Row],[Ref2023]]&gt;Table3[[#This Row],[Median]],TRUE,FALSE)</f>
        <v>1</v>
      </c>
      <c r="L53" s="1">
        <f>Table3[[#This Row],[Ref2023]]+Table3[[#This Row],[Median]]</f>
        <v>382.38931662340997</v>
      </c>
      <c r="M53" s="1">
        <f>CEILING(Table3[[#This Row],[Median]],5)</f>
        <v>185</v>
      </c>
      <c r="N53" s="1">
        <f t="shared" si="4"/>
        <v>86</v>
      </c>
      <c r="O53" s="1">
        <f t="shared" si="5"/>
        <v>185</v>
      </c>
    </row>
    <row r="54" spans="1:15" hidden="1" x14ac:dyDescent="0.2">
      <c r="B54" t="s">
        <v>23</v>
      </c>
      <c r="C54" t="s">
        <v>9</v>
      </c>
      <c r="D54" t="s">
        <v>14</v>
      </c>
      <c r="E54" t="s">
        <v>17</v>
      </c>
      <c r="F54" s="9">
        <v>190.28263386488001</v>
      </c>
      <c r="G54" s="1">
        <v>162.48947669672799</v>
      </c>
      <c r="H54" s="1">
        <v>224.57740905057</v>
      </c>
      <c r="I54" t="s">
        <v>18</v>
      </c>
      <c r="J54" s="1">
        <v>200</v>
      </c>
      <c r="K54" s="1" t="b">
        <f>IF(Table3[[#This Row],[Ref2023]]&gt;Table3[[#This Row],[Median]],TRUE,FALSE)</f>
        <v>1</v>
      </c>
      <c r="L54" s="1">
        <f>Table3[[#This Row],[Ref2023]]+Table3[[#This Row],[Median]]</f>
        <v>390.28263386488004</v>
      </c>
      <c r="M54" s="1">
        <f>CEILING(Table3[[#This Row],[Median]],5)</f>
        <v>195</v>
      </c>
      <c r="N54" s="1">
        <f t="shared" si="4"/>
        <v>96</v>
      </c>
      <c r="O54" s="1">
        <f t="shared" si="5"/>
        <v>195</v>
      </c>
    </row>
    <row r="55" spans="1:15" hidden="1" x14ac:dyDescent="0.2">
      <c r="B55" t="s">
        <v>23</v>
      </c>
      <c r="C55" t="s">
        <v>9</v>
      </c>
      <c r="D55" t="s">
        <v>15</v>
      </c>
      <c r="E55" t="s">
        <v>17</v>
      </c>
      <c r="F55" s="9">
        <v>197.054907660683</v>
      </c>
      <c r="G55" s="1">
        <v>170.77837252779099</v>
      </c>
      <c r="H55" s="1">
        <v>231.516291031511</v>
      </c>
      <c r="I55" t="s">
        <v>18</v>
      </c>
      <c r="J55" s="1">
        <v>200</v>
      </c>
      <c r="K55" s="1" t="b">
        <f>IF(Table3[[#This Row],[Ref2023]]&gt;Table3[[#This Row],[Median]],TRUE,FALSE)</f>
        <v>1</v>
      </c>
      <c r="L55" s="1">
        <f>Table3[[#This Row],[Ref2023]]+Table3[[#This Row],[Median]]</f>
        <v>397.054907660683</v>
      </c>
      <c r="M55" s="1">
        <f>CEILING(Table3[[#This Row],[Median]],5)</f>
        <v>200</v>
      </c>
      <c r="N55" s="1">
        <f t="shared" si="4"/>
        <v>101</v>
      </c>
      <c r="O55" s="1">
        <f t="shared" si="5"/>
        <v>200</v>
      </c>
    </row>
    <row r="56" spans="1:15" hidden="1" x14ac:dyDescent="0.2">
      <c r="B56" t="s">
        <v>23</v>
      </c>
      <c r="C56" t="s">
        <v>9</v>
      </c>
      <c r="D56" t="s">
        <v>16</v>
      </c>
      <c r="E56" t="s">
        <v>17</v>
      </c>
      <c r="F56" s="9">
        <v>207.57567435701699</v>
      </c>
      <c r="G56" s="1">
        <v>175.279645488748</v>
      </c>
      <c r="H56" s="1">
        <v>268.58477617602</v>
      </c>
      <c r="I56" t="s">
        <v>18</v>
      </c>
      <c r="J56" s="1">
        <v>200</v>
      </c>
      <c r="K56" s="1" t="b">
        <f>IF(Table3[[#This Row],[Ref2023]]&gt;Table3[[#This Row],[Median]],TRUE,FALSE)</f>
        <v>0</v>
      </c>
      <c r="L56" s="1">
        <f>Table3[[#This Row],[Ref2023]]+Table3[[#This Row],[Median]]</f>
        <v>407.57567435701696</v>
      </c>
      <c r="M56" s="1">
        <f>CEILING(Table3[[#This Row],[Median]],5)</f>
        <v>210</v>
      </c>
      <c r="N56" s="1">
        <f t="shared" si="4"/>
        <v>111</v>
      </c>
      <c r="O56" s="1">
        <f t="shared" si="5"/>
        <v>210</v>
      </c>
    </row>
    <row r="57" spans="1:15" hidden="1" x14ac:dyDescent="0.2">
      <c r="B57" t="s">
        <v>23</v>
      </c>
      <c r="C57" t="s">
        <v>10</v>
      </c>
      <c r="D57" t="s">
        <v>12</v>
      </c>
      <c r="E57" t="s">
        <v>17</v>
      </c>
      <c r="F57" s="1">
        <v>188.875966319442</v>
      </c>
      <c r="G57" s="1">
        <v>155.54677867501499</v>
      </c>
      <c r="H57" s="1">
        <v>226.96125450718301</v>
      </c>
      <c r="I57" t="s">
        <v>18</v>
      </c>
      <c r="J57" s="1">
        <v>200</v>
      </c>
      <c r="K57" s="1" t="b">
        <f>IF(Table3[[#This Row],[Ref2023]]&gt;Table3[[#This Row],[Median]],TRUE,FALSE)</f>
        <v>1</v>
      </c>
      <c r="L57" s="1">
        <f>Table3[[#This Row],[Ref2023]]+Table3[[#This Row],[Median]]</f>
        <v>388.875966319442</v>
      </c>
      <c r="M57" s="1">
        <f>CEILING(Table3[[#This Row],[Median]],5)</f>
        <v>190</v>
      </c>
      <c r="N57" s="1">
        <f t="shared" si="4"/>
        <v>91</v>
      </c>
      <c r="O57" s="1">
        <f t="shared" si="5"/>
        <v>190</v>
      </c>
    </row>
    <row r="58" spans="1:15" hidden="1" x14ac:dyDescent="0.2">
      <c r="B58" t="s">
        <v>23</v>
      </c>
      <c r="C58" t="s">
        <v>10</v>
      </c>
      <c r="D58" t="s">
        <v>13</v>
      </c>
      <c r="E58" t="s">
        <v>17</v>
      </c>
      <c r="F58" s="1">
        <v>192.38931662341</v>
      </c>
      <c r="G58" s="1">
        <v>163.11025661529001</v>
      </c>
      <c r="H58" s="1">
        <v>227.39287374567999</v>
      </c>
      <c r="I58" t="s">
        <v>18</v>
      </c>
      <c r="J58" s="1">
        <v>200</v>
      </c>
      <c r="K58" s="1" t="b">
        <f>IF(Table3[[#This Row],[Ref2023]]&gt;Table3[[#This Row],[Median]],TRUE,FALSE)</f>
        <v>1</v>
      </c>
      <c r="L58" s="1">
        <f>Table3[[#This Row],[Ref2023]]+Table3[[#This Row],[Median]]</f>
        <v>392.38931662340997</v>
      </c>
      <c r="M58" s="1">
        <f>CEILING(Table3[[#This Row],[Median]],5)</f>
        <v>195</v>
      </c>
      <c r="N58" s="1">
        <f t="shared" si="4"/>
        <v>96</v>
      </c>
      <c r="O58" s="1">
        <f t="shared" si="5"/>
        <v>195</v>
      </c>
    </row>
    <row r="59" spans="1:15" hidden="1" x14ac:dyDescent="0.2">
      <c r="B59" t="s">
        <v>23</v>
      </c>
      <c r="C59" t="s">
        <v>10</v>
      </c>
      <c r="D59" t="s">
        <v>14</v>
      </c>
      <c r="E59" t="s">
        <v>17</v>
      </c>
      <c r="F59" s="1">
        <v>200.28263386488001</v>
      </c>
      <c r="G59" s="1">
        <v>170.27083396840101</v>
      </c>
      <c r="H59" s="1">
        <v>236.91942319691799</v>
      </c>
      <c r="I59" t="s">
        <v>18</v>
      </c>
      <c r="J59" s="1">
        <v>200</v>
      </c>
      <c r="K59" s="1" t="b">
        <f>IF(Table3[[#This Row],[Ref2023]]&gt;Table3[[#This Row],[Median]],TRUE,FALSE)</f>
        <v>0</v>
      </c>
      <c r="L59" s="1">
        <f>Table3[[#This Row],[Ref2023]]+Table3[[#This Row],[Median]]</f>
        <v>400.28263386488004</v>
      </c>
      <c r="M59" s="1">
        <f>CEILING(Table3[[#This Row],[Median]],5)</f>
        <v>205</v>
      </c>
      <c r="N59" s="1">
        <f t="shared" si="4"/>
        <v>106</v>
      </c>
      <c r="O59" s="1">
        <f t="shared" si="5"/>
        <v>205</v>
      </c>
    </row>
    <row r="60" spans="1:15" hidden="1" x14ac:dyDescent="0.2">
      <c r="B60" t="s">
        <v>23</v>
      </c>
      <c r="C60" t="s">
        <v>10</v>
      </c>
      <c r="D60" t="s">
        <v>15</v>
      </c>
      <c r="E60" t="s">
        <v>17</v>
      </c>
      <c r="F60" s="1">
        <v>207.054907660683</v>
      </c>
      <c r="G60" s="1">
        <v>178.43624562226299</v>
      </c>
      <c r="H60" s="1">
        <v>243.85764857555901</v>
      </c>
      <c r="I60" t="s">
        <v>18</v>
      </c>
      <c r="J60" s="1">
        <v>200</v>
      </c>
      <c r="K60" s="1" t="b">
        <f>IF(Table3[[#This Row],[Ref2023]]&gt;Table3[[#This Row],[Median]],TRUE,FALSE)</f>
        <v>0</v>
      </c>
      <c r="L60" s="1">
        <f>Table3[[#This Row],[Ref2023]]+Table3[[#This Row],[Median]]</f>
        <v>407.054907660683</v>
      </c>
      <c r="M60" s="1">
        <f>CEILING(Table3[[#This Row],[Median]],5)</f>
        <v>210</v>
      </c>
      <c r="N60" s="1">
        <f t="shared" si="4"/>
        <v>111</v>
      </c>
      <c r="O60" s="1">
        <f t="shared" si="5"/>
        <v>210</v>
      </c>
    </row>
    <row r="61" spans="1:15" hidden="1" x14ac:dyDescent="0.2">
      <c r="B61" t="s">
        <v>23</v>
      </c>
      <c r="C61" t="s">
        <v>10</v>
      </c>
      <c r="D61" t="s">
        <v>16</v>
      </c>
      <c r="E61" t="s">
        <v>17</v>
      </c>
      <c r="F61" s="1">
        <v>217.57567435701699</v>
      </c>
      <c r="G61" s="1">
        <v>183.33274446204999</v>
      </c>
      <c r="H61" s="1">
        <v>279.96728896067702</v>
      </c>
      <c r="I61" t="s">
        <v>18</v>
      </c>
      <c r="J61" s="1">
        <v>200</v>
      </c>
      <c r="K61" s="1" t="b">
        <f>IF(Table3[[#This Row],[Ref2023]]&gt;Table3[[#This Row],[Median]],TRUE,FALSE)</f>
        <v>0</v>
      </c>
      <c r="L61" s="1">
        <f>Table3[[#This Row],[Ref2023]]+Table3[[#This Row],[Median]]</f>
        <v>417.57567435701696</v>
      </c>
      <c r="M61" s="1">
        <f>CEILING(Table3[[#This Row],[Median]],5)</f>
        <v>220</v>
      </c>
      <c r="N61" s="1">
        <f t="shared" si="4"/>
        <v>121</v>
      </c>
      <c r="O61" s="1">
        <f t="shared" si="5"/>
        <v>220</v>
      </c>
    </row>
    <row r="62" spans="1:15" hidden="1" x14ac:dyDescent="0.2">
      <c r="B62" t="s">
        <v>23</v>
      </c>
      <c r="C62" t="s">
        <v>11</v>
      </c>
      <c r="D62" t="s">
        <v>12</v>
      </c>
      <c r="E62" t="s">
        <v>17</v>
      </c>
      <c r="F62" s="1">
        <v>195.875966319442</v>
      </c>
      <c r="G62" s="1">
        <v>159.594975624375</v>
      </c>
      <c r="H62" s="1">
        <v>235.549096878722</v>
      </c>
      <c r="I62" t="s">
        <v>18</v>
      </c>
      <c r="J62" s="1">
        <v>200</v>
      </c>
      <c r="K62" s="1" t="b">
        <f>IF(Table3[[#This Row],[Ref2023]]&gt;Table3[[#This Row],[Median]],TRUE,FALSE)</f>
        <v>1</v>
      </c>
      <c r="L62" s="1">
        <f>Table3[[#This Row],[Ref2023]]+Table3[[#This Row],[Median]]</f>
        <v>395.875966319442</v>
      </c>
      <c r="M62" s="1">
        <f>CEILING(Table3[[#This Row],[Median]],5)</f>
        <v>200</v>
      </c>
      <c r="N62" s="1">
        <f t="shared" si="4"/>
        <v>101</v>
      </c>
      <c r="O62" s="1">
        <f t="shared" si="5"/>
        <v>200</v>
      </c>
    </row>
    <row r="63" spans="1:15" hidden="1" x14ac:dyDescent="0.2">
      <c r="B63" t="s">
        <v>23</v>
      </c>
      <c r="C63" t="s">
        <v>11</v>
      </c>
      <c r="D63" t="s">
        <v>13</v>
      </c>
      <c r="E63" t="s">
        <v>17</v>
      </c>
      <c r="F63" s="1">
        <v>199.38931662341</v>
      </c>
      <c r="G63" s="1">
        <v>166.79158207155501</v>
      </c>
      <c r="H63" s="1">
        <v>236.11405115772101</v>
      </c>
      <c r="I63" t="s">
        <v>18</v>
      </c>
      <c r="J63" s="1">
        <v>200</v>
      </c>
      <c r="K63" s="1" t="b">
        <f>IF(Table3[[#This Row],[Ref2023]]&gt;Table3[[#This Row],[Median]],TRUE,FALSE)</f>
        <v>1</v>
      </c>
      <c r="L63" s="1">
        <f>Table3[[#This Row],[Ref2023]]+Table3[[#This Row],[Median]]</f>
        <v>399.38931662340997</v>
      </c>
      <c r="M63" s="1">
        <f>CEILING(Table3[[#This Row],[Median]],5)</f>
        <v>200</v>
      </c>
      <c r="N63" s="1">
        <f t="shared" si="4"/>
        <v>101</v>
      </c>
      <c r="O63" s="1">
        <f t="shared" si="5"/>
        <v>200</v>
      </c>
    </row>
    <row r="64" spans="1:15" hidden="1" x14ac:dyDescent="0.2">
      <c r="B64" t="s">
        <v>23</v>
      </c>
      <c r="C64" t="s">
        <v>11</v>
      </c>
      <c r="D64" t="s">
        <v>14</v>
      </c>
      <c r="E64" t="s">
        <v>17</v>
      </c>
      <c r="F64" s="1">
        <v>207.28263386488001</v>
      </c>
      <c r="G64" s="1">
        <v>174.02629368960001</v>
      </c>
      <c r="H64" s="1">
        <v>245.57000408942901</v>
      </c>
      <c r="I64" t="s">
        <v>18</v>
      </c>
      <c r="J64" s="1">
        <v>200</v>
      </c>
      <c r="K64" s="1" t="b">
        <f>IF(Table3[[#This Row],[Ref2023]]&gt;Table3[[#This Row],[Median]],TRUE,FALSE)</f>
        <v>0</v>
      </c>
      <c r="L64" s="1">
        <f>Table3[[#This Row],[Ref2023]]+Table3[[#This Row],[Median]]</f>
        <v>407.28263386488004</v>
      </c>
      <c r="M64" s="1">
        <f>CEILING(Table3[[#This Row],[Median]],5)</f>
        <v>210</v>
      </c>
      <c r="N64" s="1">
        <f t="shared" si="4"/>
        <v>111</v>
      </c>
      <c r="O64" s="1">
        <f t="shared" si="5"/>
        <v>210</v>
      </c>
    </row>
    <row r="65" spans="1:15" hidden="1" x14ac:dyDescent="0.2">
      <c r="B65" t="s">
        <v>23</v>
      </c>
      <c r="C65" t="s">
        <v>11</v>
      </c>
      <c r="D65" t="s">
        <v>15</v>
      </c>
      <c r="E65" t="s">
        <v>17</v>
      </c>
      <c r="F65" s="1">
        <v>214.054907660683</v>
      </c>
      <c r="G65" s="1">
        <v>182.04466073314001</v>
      </c>
      <c r="H65" s="1">
        <v>252.50689093803501</v>
      </c>
      <c r="I65" t="s">
        <v>18</v>
      </c>
      <c r="J65" s="1">
        <v>200</v>
      </c>
      <c r="K65" s="1" t="b">
        <f>IF(Table3[[#This Row],[Ref2023]]&gt;Table3[[#This Row],[Median]],TRUE,FALSE)</f>
        <v>0</v>
      </c>
      <c r="L65" s="1">
        <f>Table3[[#This Row],[Ref2023]]+Table3[[#This Row],[Median]]</f>
        <v>414.054907660683</v>
      </c>
      <c r="M65" s="1">
        <f>CEILING(Table3[[#This Row],[Median]],5)</f>
        <v>215</v>
      </c>
      <c r="N65" s="1">
        <f t="shared" si="4"/>
        <v>116</v>
      </c>
      <c r="O65" s="1">
        <f t="shared" si="5"/>
        <v>215</v>
      </c>
    </row>
    <row r="66" spans="1:15" hidden="1" x14ac:dyDescent="0.2">
      <c r="B66" t="s">
        <v>23</v>
      </c>
      <c r="C66" t="s">
        <v>11</v>
      </c>
      <c r="D66" t="s">
        <v>16</v>
      </c>
      <c r="E66" t="s">
        <v>17</v>
      </c>
      <c r="F66" s="1">
        <v>224.57567435701699</v>
      </c>
      <c r="G66" s="1">
        <v>187.43450570675401</v>
      </c>
      <c r="H66" s="1">
        <v>287.97568416535597</v>
      </c>
      <c r="I66" t="s">
        <v>18</v>
      </c>
      <c r="J66" s="1">
        <v>200</v>
      </c>
      <c r="K66" s="1" t="b">
        <f>IF(Table3[[#This Row],[Ref2023]]&gt;Table3[[#This Row],[Median]],TRUE,FALSE)</f>
        <v>0</v>
      </c>
      <c r="L66" s="1">
        <f>Table3[[#This Row],[Ref2023]]+Table3[[#This Row],[Median]]</f>
        <v>424.57567435701696</v>
      </c>
      <c r="M66" s="1">
        <f>CEILING(Table3[[#This Row],[Median]],5)</f>
        <v>225</v>
      </c>
      <c r="N66" s="1">
        <f t="shared" si="4"/>
        <v>126</v>
      </c>
      <c r="O66" s="1">
        <f t="shared" si="5"/>
        <v>225</v>
      </c>
    </row>
    <row r="67" spans="1:15" hidden="1" x14ac:dyDescent="0.2">
      <c r="B67" t="s">
        <v>23</v>
      </c>
      <c r="C67" t="s">
        <v>28</v>
      </c>
      <c r="D67" t="s">
        <v>12</v>
      </c>
      <c r="E67" t="s">
        <v>17</v>
      </c>
      <c r="F67" s="6">
        <v>30.875966319441801</v>
      </c>
      <c r="G67" s="6">
        <v>2.8476806208408001</v>
      </c>
      <c r="H67" s="6">
        <v>63.853210162735898</v>
      </c>
      <c r="I67" t="s">
        <v>18</v>
      </c>
      <c r="J67" s="1">
        <v>200</v>
      </c>
      <c r="K67" s="1" t="b">
        <f>IF(Table3[[#This Row],[Ref2023]]&gt;Table3[[#This Row],[Median]],TRUE,FALSE)</f>
        <v>1</v>
      </c>
      <c r="L67" s="1">
        <f>Table3[[#This Row],[Ref2023]]+Table3[[#This Row],[Median]]</f>
        <v>230.8759663194418</v>
      </c>
      <c r="M67" s="1">
        <f>CEILING(Table3[[#This Row],[Median]],5)</f>
        <v>35</v>
      </c>
      <c r="N67" s="1">
        <f t="shared" si="4"/>
        <v>-64</v>
      </c>
      <c r="O67" s="1">
        <f t="shared" si="5"/>
        <v>35</v>
      </c>
    </row>
    <row r="68" spans="1:15" hidden="1" x14ac:dyDescent="0.2">
      <c r="B68" t="s">
        <v>23</v>
      </c>
      <c r="C68" t="s">
        <v>28</v>
      </c>
      <c r="D68" t="s">
        <v>13</v>
      </c>
      <c r="E68" t="s">
        <v>17</v>
      </c>
      <c r="F68" s="6">
        <v>34.389316623409599</v>
      </c>
      <c r="G68" s="6">
        <v>11.3207553134748</v>
      </c>
      <c r="H68" s="6">
        <v>63.751576365518602</v>
      </c>
      <c r="I68" t="s">
        <v>18</v>
      </c>
      <c r="J68" s="1">
        <v>200</v>
      </c>
      <c r="K68" s="1" t="b">
        <f>IF(Table3[[#This Row],[Ref2023]]&gt;Table3[[#This Row],[Median]],TRUE,FALSE)</f>
        <v>1</v>
      </c>
      <c r="L68" s="1">
        <f>Table3[[#This Row],[Ref2023]]+Table3[[#This Row],[Median]]</f>
        <v>234.3893166234096</v>
      </c>
      <c r="M68" s="1">
        <f>CEILING(Table3[[#This Row],[Median]],5)</f>
        <v>35</v>
      </c>
      <c r="N68" s="1">
        <f t="shared" si="4"/>
        <v>-64</v>
      </c>
      <c r="O68" s="1">
        <f t="shared" si="5"/>
        <v>35</v>
      </c>
    </row>
    <row r="69" spans="1:15" x14ac:dyDescent="0.2">
      <c r="B69" t="s">
        <v>23</v>
      </c>
      <c r="C69" t="s">
        <v>28</v>
      </c>
      <c r="D69" t="s">
        <v>14</v>
      </c>
      <c r="E69" t="s">
        <v>17</v>
      </c>
      <c r="F69" s="6">
        <v>42.2826338648796</v>
      </c>
      <c r="G69" s="6">
        <v>18.2856168285591</v>
      </c>
      <c r="H69" s="6">
        <v>73.560184365532294</v>
      </c>
      <c r="I69" t="s">
        <v>18</v>
      </c>
      <c r="J69" s="1">
        <v>200</v>
      </c>
      <c r="K69" s="1" t="b">
        <f>IF(Table3[[#This Row],[Ref2023]]&gt;Table3[[#This Row],[Median]],TRUE,FALSE)</f>
        <v>1</v>
      </c>
      <c r="L69" s="1">
        <f>Table3[[#This Row],[Ref2023]]+Table3[[#This Row],[Median]]</f>
        <v>242.28263386487959</v>
      </c>
      <c r="M69" s="1">
        <f>CEILING(Table3[[#This Row],[Median]],5)</f>
        <v>45</v>
      </c>
      <c r="N69" s="1">
        <f t="shared" si="4"/>
        <v>-54</v>
      </c>
      <c r="O69" s="1">
        <f t="shared" si="5"/>
        <v>45</v>
      </c>
    </row>
    <row r="70" spans="1:15" ht="13.5" hidden="1" customHeight="1" x14ac:dyDescent="0.2">
      <c r="B70" t="s">
        <v>23</v>
      </c>
      <c r="C70" t="s">
        <v>28</v>
      </c>
      <c r="D70" t="s">
        <v>15</v>
      </c>
      <c r="E70" t="s">
        <v>17</v>
      </c>
      <c r="F70" s="6">
        <v>49.054907660683</v>
      </c>
      <c r="G70" s="6">
        <v>26.850350462464501</v>
      </c>
      <c r="H70" s="6">
        <v>80.496494589288602</v>
      </c>
      <c r="I70" t="s">
        <v>18</v>
      </c>
      <c r="J70" s="1">
        <v>200</v>
      </c>
      <c r="K70" s="1" t="b">
        <f>IF(Table3[[#This Row],[Ref2023]]&gt;Table3[[#This Row],[Median]],TRUE,FALSE)</f>
        <v>1</v>
      </c>
      <c r="L70" s="1">
        <f>Table3[[#This Row],[Ref2023]]+Table3[[#This Row],[Median]]</f>
        <v>249.054907660683</v>
      </c>
      <c r="M70" s="1">
        <f>CEILING(Table3[[#This Row],[Median]],5)</f>
        <v>50</v>
      </c>
      <c r="N70" s="1">
        <f t="shared" si="4"/>
        <v>-49</v>
      </c>
      <c r="O70" s="1">
        <f t="shared" si="5"/>
        <v>50</v>
      </c>
    </row>
    <row r="71" spans="1:15" x14ac:dyDescent="0.2">
      <c r="B71" t="s">
        <v>23</v>
      </c>
      <c r="C71" t="s">
        <v>28</v>
      </c>
      <c r="D71" t="s">
        <v>16</v>
      </c>
      <c r="E71" t="s">
        <v>17</v>
      </c>
      <c r="F71" s="6">
        <v>59.575674357016901</v>
      </c>
      <c r="G71" s="6">
        <v>30.5277610381861</v>
      </c>
      <c r="H71" s="6">
        <v>118.894213876755</v>
      </c>
      <c r="I71" t="s">
        <v>18</v>
      </c>
      <c r="J71" s="1">
        <v>200</v>
      </c>
      <c r="K71" s="1" t="b">
        <f>IF(Table3[[#This Row],[Ref2023]]&gt;Table3[[#This Row],[Median]],TRUE,FALSE)</f>
        <v>1</v>
      </c>
      <c r="L71" s="1">
        <f>Table3[[#This Row],[Ref2023]]+Table3[[#This Row],[Median]]</f>
        <v>259.57567435701691</v>
      </c>
      <c r="M71" s="1">
        <f>CEILING(Table3[[#This Row],[Median]],5)</f>
        <v>60</v>
      </c>
      <c r="N71" s="1">
        <f t="shared" si="4"/>
        <v>-39</v>
      </c>
      <c r="O71" s="1">
        <f t="shared" si="5"/>
        <v>60</v>
      </c>
    </row>
    <row r="72" spans="1:15" x14ac:dyDescent="0.2">
      <c r="B72" t="s">
        <v>40</v>
      </c>
      <c r="N72" s="1">
        <f>SUBTOTAL(104,Table3[[Antal iterationer ]])</f>
        <v>-39</v>
      </c>
      <c r="O72" s="1">
        <f>SUBTOTAL(104,Table3[Slutværdi])</f>
        <v>60</v>
      </c>
    </row>
    <row r="75" spans="1:15" x14ac:dyDescent="0.2">
      <c r="A75" t="s">
        <v>24</v>
      </c>
      <c r="B75" t="s">
        <v>0</v>
      </c>
      <c r="C75" t="s">
        <v>1</v>
      </c>
      <c r="D75" t="s">
        <v>2</v>
      </c>
      <c r="E75" t="s">
        <v>3</v>
      </c>
      <c r="F75" t="s">
        <v>4</v>
      </c>
      <c r="G75" t="s">
        <v>5</v>
      </c>
      <c r="H75" t="s">
        <v>6</v>
      </c>
      <c r="I75" t="s">
        <v>7</v>
      </c>
      <c r="J75" t="s">
        <v>26</v>
      </c>
      <c r="K75" t="s">
        <v>27</v>
      </c>
      <c r="L75" t="s">
        <v>41</v>
      </c>
      <c r="M75" t="s">
        <v>35</v>
      </c>
      <c r="N75" t="s">
        <v>38</v>
      </c>
      <c r="O75" t="s">
        <v>39</v>
      </c>
    </row>
    <row r="76" spans="1:15" hidden="1" x14ac:dyDescent="0.2">
      <c r="B76" t="s">
        <v>25</v>
      </c>
      <c r="C76" t="s">
        <v>9</v>
      </c>
      <c r="D76" t="s">
        <v>12</v>
      </c>
      <c r="E76" t="s">
        <v>17</v>
      </c>
      <c r="F76" s="1">
        <v>201.08121682067701</v>
      </c>
      <c r="G76" s="1">
        <v>168.28328543259499</v>
      </c>
      <c r="H76" s="1">
        <v>238.201223925486</v>
      </c>
      <c r="I76" s="1" t="s">
        <v>18</v>
      </c>
      <c r="J76" s="1">
        <v>210</v>
      </c>
      <c r="K76" s="1" t="b">
        <f>IF(Table4[[#This Row],[Ref2023]]&gt;Table4[[#This Row],[Median]],TRUE,FALSE)</f>
        <v>1</v>
      </c>
      <c r="L76" s="1">
        <f>Table4[[#This Row],[Ref2023]]+Table4[[#This Row],[Median]]</f>
        <v>411.08121682067701</v>
      </c>
      <c r="M76" s="1">
        <f>CEILING(Table4[[#This Row],[Median]],5)</f>
        <v>205</v>
      </c>
      <c r="N76" s="1">
        <f t="shared" ref="N76:N95" si="6">(M76-$C$1)/$E$1+1</f>
        <v>106</v>
      </c>
      <c r="O76" s="1">
        <f t="shared" ref="O76:O95" si="7">$C$1+((N76-1)*$E$1)</f>
        <v>205</v>
      </c>
    </row>
    <row r="77" spans="1:15" hidden="1" x14ac:dyDescent="0.2">
      <c r="B77" t="s">
        <v>25</v>
      </c>
      <c r="C77" t="s">
        <v>9</v>
      </c>
      <c r="D77" t="s">
        <v>13</v>
      </c>
      <c r="E77" t="s">
        <v>17</v>
      </c>
      <c r="F77" s="1">
        <v>204.755100365082</v>
      </c>
      <c r="G77" s="1">
        <v>176.079217054617</v>
      </c>
      <c r="H77" s="1">
        <v>238.809419746815</v>
      </c>
      <c r="I77" s="1" t="s">
        <v>18</v>
      </c>
      <c r="J77" s="1">
        <v>210</v>
      </c>
      <c r="K77" s="1" t="b">
        <f>IF(Table4[[#This Row],[Ref2023]]&gt;Table4[[#This Row],[Median]],TRUE,FALSE)</f>
        <v>1</v>
      </c>
      <c r="L77" s="1">
        <f>Table4[[#This Row],[Ref2023]]+Table4[[#This Row],[Median]]</f>
        <v>414.755100365082</v>
      </c>
      <c r="M77" s="1">
        <f>CEILING(Table4[[#This Row],[Median]],5)</f>
        <v>205</v>
      </c>
      <c r="N77" s="1">
        <f t="shared" si="6"/>
        <v>106</v>
      </c>
      <c r="O77" s="1">
        <f t="shared" si="7"/>
        <v>205</v>
      </c>
    </row>
    <row r="78" spans="1:15" hidden="1" x14ac:dyDescent="0.2">
      <c r="B78" t="s">
        <v>25</v>
      </c>
      <c r="C78" t="s">
        <v>9</v>
      </c>
      <c r="D78" t="s">
        <v>14</v>
      </c>
      <c r="E78" t="s">
        <v>17</v>
      </c>
      <c r="F78" s="1">
        <v>212.72042057077101</v>
      </c>
      <c r="G78" s="1">
        <v>183.29524354326301</v>
      </c>
      <c r="H78" s="1">
        <v>248.43273594600001</v>
      </c>
      <c r="I78" s="1" t="s">
        <v>18</v>
      </c>
      <c r="J78" s="1">
        <v>210</v>
      </c>
      <c r="K78" s="1" t="b">
        <f>IF(Table4[[#This Row],[Ref2023]]&gt;Table4[[#This Row],[Median]],TRUE,FALSE)</f>
        <v>0</v>
      </c>
      <c r="L78" s="1">
        <f>Table4[[#This Row],[Ref2023]]+Table4[[#This Row],[Median]]</f>
        <v>422.72042057077101</v>
      </c>
      <c r="M78" s="1">
        <f>CEILING(Table4[[#This Row],[Median]],5)</f>
        <v>215</v>
      </c>
      <c r="N78" s="1">
        <f t="shared" si="6"/>
        <v>116</v>
      </c>
      <c r="O78" s="1">
        <f t="shared" si="7"/>
        <v>215</v>
      </c>
    </row>
    <row r="79" spans="1:15" hidden="1" x14ac:dyDescent="0.2">
      <c r="B79" t="s">
        <v>25</v>
      </c>
      <c r="C79" t="s">
        <v>9</v>
      </c>
      <c r="D79" t="s">
        <v>15</v>
      </c>
      <c r="E79" t="s">
        <v>17</v>
      </c>
      <c r="F79" s="1">
        <v>219.49558622698001</v>
      </c>
      <c r="G79" s="1">
        <v>191.493464287851</v>
      </c>
      <c r="H79" s="1">
        <v>255.25669705598199</v>
      </c>
      <c r="I79" s="1" t="s">
        <v>18</v>
      </c>
      <c r="J79" s="1">
        <v>210</v>
      </c>
      <c r="K79" s="1" t="b">
        <f>IF(Table4[[#This Row],[Ref2023]]&gt;Table4[[#This Row],[Median]],TRUE,FALSE)</f>
        <v>0</v>
      </c>
      <c r="L79" s="1">
        <f>Table4[[#This Row],[Ref2023]]+Table4[[#This Row],[Median]]</f>
        <v>429.49558622697998</v>
      </c>
      <c r="M79" s="1">
        <f>CEILING(Table4[[#This Row],[Median]],5)</f>
        <v>220</v>
      </c>
      <c r="N79" s="1">
        <f t="shared" si="6"/>
        <v>121</v>
      </c>
      <c r="O79" s="1">
        <f t="shared" si="7"/>
        <v>220</v>
      </c>
    </row>
    <row r="80" spans="1:15" hidden="1" x14ac:dyDescent="0.2">
      <c r="B80" t="s">
        <v>25</v>
      </c>
      <c r="C80" t="s">
        <v>9</v>
      </c>
      <c r="D80" t="s">
        <v>16</v>
      </c>
      <c r="E80" t="s">
        <v>17</v>
      </c>
      <c r="F80" s="1">
        <v>230.28331003944101</v>
      </c>
      <c r="G80" s="1">
        <v>196.552556719872</v>
      </c>
      <c r="H80" s="1">
        <v>292.209485077723</v>
      </c>
      <c r="I80" s="1" t="s">
        <v>18</v>
      </c>
      <c r="J80" s="1">
        <v>210</v>
      </c>
      <c r="K80" s="1" t="b">
        <f>IF(Table4[[#This Row],[Ref2023]]&gt;Table4[[#This Row],[Median]],TRUE,FALSE)</f>
        <v>0</v>
      </c>
      <c r="L80" s="1">
        <f>Table4[[#This Row],[Ref2023]]+Table4[[#This Row],[Median]]</f>
        <v>440.28331003944101</v>
      </c>
      <c r="M80" s="1">
        <f>CEILING(Table4[[#This Row],[Median]],5)</f>
        <v>235</v>
      </c>
      <c r="N80" s="1">
        <f t="shared" si="6"/>
        <v>136</v>
      </c>
      <c r="O80" s="1">
        <f t="shared" si="7"/>
        <v>235</v>
      </c>
    </row>
    <row r="81" spans="2:15" hidden="1" x14ac:dyDescent="0.2">
      <c r="B81" t="s">
        <v>25</v>
      </c>
      <c r="C81" t="s">
        <v>10</v>
      </c>
      <c r="D81" t="s">
        <v>12</v>
      </c>
      <c r="E81" t="s">
        <v>17</v>
      </c>
      <c r="F81" s="1">
        <v>215.08121682067701</v>
      </c>
      <c r="G81" s="1">
        <v>179.42751066409599</v>
      </c>
      <c r="H81" s="1">
        <v>254.750738357442</v>
      </c>
      <c r="I81" s="1" t="s">
        <v>18</v>
      </c>
      <c r="J81" s="1">
        <v>210</v>
      </c>
      <c r="K81" s="1" t="b">
        <f>IF(Table4[[#This Row],[Ref2023]]&gt;Table4[[#This Row],[Median]],TRUE,FALSE)</f>
        <v>0</v>
      </c>
      <c r="L81" s="1">
        <f>Table4[[#This Row],[Ref2023]]+Table4[[#This Row],[Median]]</f>
        <v>425.08121682067701</v>
      </c>
      <c r="M81" s="1">
        <f>CEILING(Table4[[#This Row],[Median]],5)</f>
        <v>220</v>
      </c>
      <c r="N81" s="1">
        <f t="shared" si="6"/>
        <v>121</v>
      </c>
      <c r="O81" s="1">
        <f t="shared" si="7"/>
        <v>220</v>
      </c>
    </row>
    <row r="82" spans="2:15" hidden="1" x14ac:dyDescent="0.2">
      <c r="B82" t="s">
        <v>25</v>
      </c>
      <c r="C82" t="s">
        <v>10</v>
      </c>
      <c r="D82" t="s">
        <v>13</v>
      </c>
      <c r="E82" t="s">
        <v>17</v>
      </c>
      <c r="F82" s="1">
        <v>218.755100365082</v>
      </c>
      <c r="G82" s="1">
        <v>186.85414472953599</v>
      </c>
      <c r="H82" s="1">
        <v>255.572093985322</v>
      </c>
      <c r="I82" s="1" t="s">
        <v>18</v>
      </c>
      <c r="J82" s="1">
        <v>210</v>
      </c>
      <c r="K82" s="1" t="b">
        <f>IF(Table4[[#This Row],[Ref2023]]&gt;Table4[[#This Row],[Median]],TRUE,FALSE)</f>
        <v>0</v>
      </c>
      <c r="L82" s="1">
        <f>Table4[[#This Row],[Ref2023]]+Table4[[#This Row],[Median]]</f>
        <v>428.755100365082</v>
      </c>
      <c r="M82" s="1">
        <f>CEILING(Table4[[#This Row],[Median]],5)</f>
        <v>220</v>
      </c>
      <c r="N82" s="1">
        <f t="shared" si="6"/>
        <v>121</v>
      </c>
      <c r="O82" s="1">
        <f t="shared" si="7"/>
        <v>220</v>
      </c>
    </row>
    <row r="83" spans="2:15" hidden="1" x14ac:dyDescent="0.2">
      <c r="B83" t="s">
        <v>25</v>
      </c>
      <c r="C83" t="s">
        <v>10</v>
      </c>
      <c r="D83" t="s">
        <v>14</v>
      </c>
      <c r="E83" t="s">
        <v>17</v>
      </c>
      <c r="F83" s="1">
        <v>226.72042057077101</v>
      </c>
      <c r="G83" s="1">
        <v>194.14545193055699</v>
      </c>
      <c r="H83" s="1">
        <v>265.08066550411399</v>
      </c>
      <c r="I83" s="1" t="s">
        <v>18</v>
      </c>
      <c r="J83" s="1">
        <v>210</v>
      </c>
      <c r="K83" s="1" t="b">
        <f>IF(Table4[[#This Row],[Ref2023]]&gt;Table4[[#This Row],[Median]],TRUE,FALSE)</f>
        <v>0</v>
      </c>
      <c r="L83" s="1">
        <f>Table4[[#This Row],[Ref2023]]+Table4[[#This Row],[Median]]</f>
        <v>436.72042057077101</v>
      </c>
      <c r="M83" s="1">
        <f>CEILING(Table4[[#This Row],[Median]],5)</f>
        <v>230</v>
      </c>
      <c r="N83" s="1">
        <f t="shared" si="6"/>
        <v>131</v>
      </c>
      <c r="O83" s="1">
        <f t="shared" si="7"/>
        <v>230</v>
      </c>
    </row>
    <row r="84" spans="2:15" hidden="1" x14ac:dyDescent="0.2">
      <c r="B84" t="s">
        <v>25</v>
      </c>
      <c r="C84" t="s">
        <v>10</v>
      </c>
      <c r="D84" t="s">
        <v>15</v>
      </c>
      <c r="E84" t="s">
        <v>17</v>
      </c>
      <c r="F84" s="1">
        <v>233.49558622698001</v>
      </c>
      <c r="G84" s="1">
        <v>202.194354364476</v>
      </c>
      <c r="H84" s="1">
        <v>271.91080623530797</v>
      </c>
      <c r="I84" s="1" t="s">
        <v>18</v>
      </c>
      <c r="J84" s="1">
        <v>210</v>
      </c>
      <c r="K84" s="1" t="b">
        <f>IF(Table4[[#This Row],[Ref2023]]&gt;Table4[[#This Row],[Median]],TRUE,FALSE)</f>
        <v>0</v>
      </c>
      <c r="L84" s="1">
        <f>Table4[[#This Row],[Ref2023]]+Table4[[#This Row],[Median]]</f>
        <v>443.49558622697998</v>
      </c>
      <c r="M84" s="1">
        <f>CEILING(Table4[[#This Row],[Median]],5)</f>
        <v>235</v>
      </c>
      <c r="N84" s="1">
        <f t="shared" si="6"/>
        <v>136</v>
      </c>
      <c r="O84" s="1">
        <f t="shared" si="7"/>
        <v>235</v>
      </c>
    </row>
    <row r="85" spans="2:15" hidden="1" x14ac:dyDescent="0.2">
      <c r="B85" t="s">
        <v>25</v>
      </c>
      <c r="C85" t="s">
        <v>10</v>
      </c>
      <c r="D85" t="s">
        <v>16</v>
      </c>
      <c r="E85" t="s">
        <v>17</v>
      </c>
      <c r="F85" s="1">
        <v>244.28331003944101</v>
      </c>
      <c r="G85" s="1">
        <v>207.750246307585</v>
      </c>
      <c r="H85" s="1">
        <v>307.81363666129897</v>
      </c>
      <c r="I85" s="1" t="s">
        <v>18</v>
      </c>
      <c r="J85" s="1">
        <v>210</v>
      </c>
      <c r="K85" s="1" t="b">
        <f>IF(Table4[[#This Row],[Ref2023]]&gt;Table4[[#This Row],[Median]],TRUE,FALSE)</f>
        <v>0</v>
      </c>
      <c r="L85" s="1">
        <f>Table4[[#This Row],[Ref2023]]+Table4[[#This Row],[Median]]</f>
        <v>454.28331003944101</v>
      </c>
      <c r="M85" s="1">
        <f>CEILING(Table4[[#This Row],[Median]],5)</f>
        <v>245</v>
      </c>
      <c r="N85" s="1">
        <f t="shared" si="6"/>
        <v>146</v>
      </c>
      <c r="O85" s="1">
        <f t="shared" si="7"/>
        <v>245</v>
      </c>
    </row>
    <row r="86" spans="2:15" hidden="1" x14ac:dyDescent="0.2">
      <c r="B86" t="s">
        <v>25</v>
      </c>
      <c r="C86" t="s">
        <v>11</v>
      </c>
      <c r="D86" t="s">
        <v>12</v>
      </c>
      <c r="E86" t="s">
        <v>17</v>
      </c>
      <c r="F86" s="1">
        <v>224.08121682067701</v>
      </c>
      <c r="G86" s="1">
        <v>185.13742655186701</v>
      </c>
      <c r="H86" s="1">
        <v>266.73575266664102</v>
      </c>
      <c r="I86" s="1" t="s">
        <v>18</v>
      </c>
      <c r="J86" s="1">
        <v>210</v>
      </c>
      <c r="K86" s="1" t="b">
        <f>IF(Table4[[#This Row],[Ref2023]]&gt;Table4[[#This Row],[Median]],TRUE,FALSE)</f>
        <v>0</v>
      </c>
      <c r="L86" s="1">
        <f>Table4[[#This Row],[Ref2023]]+Table4[[#This Row],[Median]]</f>
        <v>434.08121682067701</v>
      </c>
      <c r="M86" s="1">
        <f>CEILING(Table4[[#This Row],[Median]],5)</f>
        <v>225</v>
      </c>
      <c r="N86" s="1">
        <f t="shared" si="6"/>
        <v>126</v>
      </c>
      <c r="O86" s="1">
        <f t="shared" si="7"/>
        <v>225</v>
      </c>
    </row>
    <row r="87" spans="2:15" hidden="1" x14ac:dyDescent="0.2">
      <c r="B87" t="s">
        <v>25</v>
      </c>
      <c r="C87" t="s">
        <v>11</v>
      </c>
      <c r="D87" t="s">
        <v>13</v>
      </c>
      <c r="E87" t="s">
        <v>17</v>
      </c>
      <c r="F87" s="1">
        <v>227.755100365082</v>
      </c>
      <c r="G87" s="1">
        <v>192.216823285397</v>
      </c>
      <c r="H87" s="1">
        <v>267.77025936381398</v>
      </c>
      <c r="I87" s="1" t="s">
        <v>18</v>
      </c>
      <c r="J87" s="1">
        <v>210</v>
      </c>
      <c r="K87" s="1" t="b">
        <f>IF(Table4[[#This Row],[Ref2023]]&gt;Table4[[#This Row],[Median]],TRUE,FALSE)</f>
        <v>0</v>
      </c>
      <c r="L87" s="1">
        <f>Table4[[#This Row],[Ref2023]]+Table4[[#This Row],[Median]]</f>
        <v>437.755100365082</v>
      </c>
      <c r="M87" s="1">
        <f>CEILING(Table4[[#This Row],[Median]],5)</f>
        <v>230</v>
      </c>
      <c r="N87" s="1">
        <f t="shared" si="6"/>
        <v>131</v>
      </c>
      <c r="O87" s="1">
        <f t="shared" si="7"/>
        <v>230</v>
      </c>
    </row>
    <row r="88" spans="2:15" hidden="1" x14ac:dyDescent="0.2">
      <c r="B88" t="s">
        <v>25</v>
      </c>
      <c r="C88" t="s">
        <v>11</v>
      </c>
      <c r="D88" t="s">
        <v>14</v>
      </c>
      <c r="E88" t="s">
        <v>17</v>
      </c>
      <c r="F88" s="1">
        <v>235.72042057077101</v>
      </c>
      <c r="G88" s="1">
        <v>199.57672944055</v>
      </c>
      <c r="H88" s="1">
        <v>277.16394337274801</v>
      </c>
      <c r="I88" s="1" t="s">
        <v>18</v>
      </c>
      <c r="J88" s="1">
        <v>210</v>
      </c>
      <c r="K88" s="1" t="b">
        <f>IF(Table4[[#This Row],[Ref2023]]&gt;Table4[[#This Row],[Median]],TRUE,FALSE)</f>
        <v>0</v>
      </c>
      <c r="L88" s="1">
        <f>Table4[[#This Row],[Ref2023]]+Table4[[#This Row],[Median]]</f>
        <v>445.72042057077101</v>
      </c>
      <c r="M88" s="1">
        <f>CEILING(Table4[[#This Row],[Median]],5)</f>
        <v>240</v>
      </c>
      <c r="N88" s="1">
        <f t="shared" si="6"/>
        <v>141</v>
      </c>
      <c r="O88" s="1">
        <f t="shared" si="7"/>
        <v>240</v>
      </c>
    </row>
    <row r="89" spans="2:15" hidden="1" x14ac:dyDescent="0.2">
      <c r="B89" t="s">
        <v>25</v>
      </c>
      <c r="C89" t="s">
        <v>11</v>
      </c>
      <c r="D89" t="s">
        <v>15</v>
      </c>
      <c r="E89" t="s">
        <v>17</v>
      </c>
      <c r="F89" s="1">
        <v>242.49558622698001</v>
      </c>
      <c r="G89" s="1">
        <v>207.491328207409</v>
      </c>
      <c r="H89" s="1">
        <v>283.99838845869499</v>
      </c>
      <c r="I89" s="1" t="s">
        <v>18</v>
      </c>
      <c r="J89" s="1">
        <v>210</v>
      </c>
      <c r="K89" s="1" t="b">
        <f>IF(Table4[[#This Row],[Ref2023]]&gt;Table4[[#This Row],[Median]],TRUE,FALSE)</f>
        <v>0</v>
      </c>
      <c r="L89" s="1">
        <f>Table4[[#This Row],[Ref2023]]+Table4[[#This Row],[Median]]</f>
        <v>452.49558622697998</v>
      </c>
      <c r="M89" s="1">
        <f>CEILING(Table4[[#This Row],[Median]],5)</f>
        <v>245</v>
      </c>
      <c r="N89" s="1">
        <f t="shared" si="6"/>
        <v>146</v>
      </c>
      <c r="O89" s="1">
        <f t="shared" si="7"/>
        <v>245</v>
      </c>
    </row>
    <row r="90" spans="2:15" hidden="1" x14ac:dyDescent="0.2">
      <c r="B90" t="s">
        <v>25</v>
      </c>
      <c r="C90" t="s">
        <v>11</v>
      </c>
      <c r="D90" t="s">
        <v>16</v>
      </c>
      <c r="E90" t="s">
        <v>17</v>
      </c>
      <c r="F90" s="1">
        <v>253.28331003944101</v>
      </c>
      <c r="G90" s="1">
        <v>213.51645883020501</v>
      </c>
      <c r="H90" s="1">
        <v>318.76673542355701</v>
      </c>
      <c r="I90" s="1" t="s">
        <v>18</v>
      </c>
      <c r="J90" s="1">
        <v>210</v>
      </c>
      <c r="K90" s="1" t="b">
        <f>IF(Table4[[#This Row],[Ref2023]]&gt;Table4[[#This Row],[Median]],TRUE,FALSE)</f>
        <v>0</v>
      </c>
      <c r="L90" s="1">
        <f>Table4[[#This Row],[Ref2023]]+Table4[[#This Row],[Median]]</f>
        <v>463.28331003944101</v>
      </c>
      <c r="M90" s="1">
        <f>CEILING(Table4[[#This Row],[Median]],5)</f>
        <v>255</v>
      </c>
      <c r="N90" s="1">
        <f t="shared" si="6"/>
        <v>156</v>
      </c>
      <c r="O90" s="1">
        <f t="shared" si="7"/>
        <v>255</v>
      </c>
    </row>
    <row r="91" spans="2:15" hidden="1" x14ac:dyDescent="0.2">
      <c r="B91" t="s">
        <v>25</v>
      </c>
      <c r="C91" t="s">
        <v>28</v>
      </c>
      <c r="D91" t="s">
        <v>12</v>
      </c>
      <c r="E91" t="s">
        <v>17</v>
      </c>
      <c r="F91" s="6">
        <v>32.981216820677098</v>
      </c>
      <c r="G91" s="6">
        <v>4.9534593208439297</v>
      </c>
      <c r="H91" s="6">
        <v>65.9543605918644</v>
      </c>
      <c r="I91" s="1" t="s">
        <v>18</v>
      </c>
      <c r="J91" s="1">
        <v>210</v>
      </c>
      <c r="K91" s="1" t="b">
        <f>IF(Table4[[#This Row],[Ref2023]]&gt;Table4[[#This Row],[Median]],TRUE,FALSE)</f>
        <v>1</v>
      </c>
      <c r="L91" s="1">
        <f>Table4[[#This Row],[Ref2023]]+Table4[[#This Row],[Median]]</f>
        <v>242.9812168206771</v>
      </c>
      <c r="M91" s="1">
        <f>CEILING(Table4[[#This Row],[Median]],5)</f>
        <v>35</v>
      </c>
      <c r="N91" s="1">
        <f t="shared" si="6"/>
        <v>-64</v>
      </c>
      <c r="O91" s="1">
        <f t="shared" si="7"/>
        <v>35</v>
      </c>
    </row>
    <row r="92" spans="2:15" hidden="1" x14ac:dyDescent="0.2">
      <c r="B92" t="s">
        <v>25</v>
      </c>
      <c r="C92" t="s">
        <v>28</v>
      </c>
      <c r="D92" t="s">
        <v>13</v>
      </c>
      <c r="E92" t="s">
        <v>17</v>
      </c>
      <c r="F92" s="6">
        <v>36.655100365082397</v>
      </c>
      <c r="G92" s="6">
        <v>13.5841334984746</v>
      </c>
      <c r="H92" s="6">
        <v>66.131401101539296</v>
      </c>
      <c r="I92" s="1" t="s">
        <v>18</v>
      </c>
      <c r="J92" s="1">
        <v>210</v>
      </c>
      <c r="K92" s="1" t="b">
        <f>IF(Table4[[#This Row],[Ref2023]]&gt;Table4[[#This Row],[Median]],TRUE,FALSE)</f>
        <v>1</v>
      </c>
      <c r="L92" s="1">
        <f>Table4[[#This Row],[Ref2023]]+Table4[[#This Row],[Median]]</f>
        <v>246.6551003650824</v>
      </c>
      <c r="M92" s="1">
        <f>CEILING(Table4[[#This Row],[Median]],5)</f>
        <v>40</v>
      </c>
      <c r="N92" s="1">
        <f t="shared" si="6"/>
        <v>-59</v>
      </c>
      <c r="O92" s="1">
        <f t="shared" si="7"/>
        <v>40</v>
      </c>
    </row>
    <row r="93" spans="2:15" x14ac:dyDescent="0.2">
      <c r="B93" t="s">
        <v>25</v>
      </c>
      <c r="C93" t="s">
        <v>28</v>
      </c>
      <c r="D93" t="s">
        <v>14</v>
      </c>
      <c r="E93" t="s">
        <v>17</v>
      </c>
      <c r="F93" s="6">
        <v>44.620420570770897</v>
      </c>
      <c r="G93" s="6">
        <v>20.619502908989201</v>
      </c>
      <c r="H93" s="6">
        <v>75.986297275866093</v>
      </c>
      <c r="I93" s="1" t="s">
        <v>18</v>
      </c>
      <c r="J93" s="1">
        <v>210</v>
      </c>
      <c r="K93" s="1" t="b">
        <f>IF(Table4[[#This Row],[Ref2023]]&gt;Table4[[#This Row],[Median]],TRUE,FALSE)</f>
        <v>1</v>
      </c>
      <c r="L93" s="1">
        <f>Table4[[#This Row],[Ref2023]]+Table4[[#This Row],[Median]]</f>
        <v>254.6204205707709</v>
      </c>
      <c r="M93" s="1">
        <f>CEILING(Table4[[#This Row],[Median]],5)</f>
        <v>45</v>
      </c>
      <c r="N93" s="1">
        <f t="shared" si="6"/>
        <v>-54</v>
      </c>
      <c r="O93" s="1">
        <f t="shared" si="7"/>
        <v>45</v>
      </c>
    </row>
    <row r="94" spans="2:15" hidden="1" x14ac:dyDescent="0.2">
      <c r="B94" t="s">
        <v>25</v>
      </c>
      <c r="C94" t="s">
        <v>28</v>
      </c>
      <c r="D94" t="s">
        <v>15</v>
      </c>
      <c r="E94" t="s">
        <v>17</v>
      </c>
      <c r="F94" s="6">
        <v>51.395586226979901</v>
      </c>
      <c r="G94" s="6">
        <v>29.185736317941799</v>
      </c>
      <c r="H94" s="6">
        <v>82.791717023008204</v>
      </c>
      <c r="I94" s="1" t="s">
        <v>18</v>
      </c>
      <c r="J94" s="1">
        <v>210</v>
      </c>
      <c r="K94" s="1" t="b">
        <f>IF(Table4[[#This Row],[Ref2023]]&gt;Table4[[#This Row],[Median]],TRUE,FALSE)</f>
        <v>1</v>
      </c>
      <c r="L94" s="1">
        <f>Table4[[#This Row],[Ref2023]]+Table4[[#This Row],[Median]]</f>
        <v>261.3955862269799</v>
      </c>
      <c r="M94" s="1">
        <f>CEILING(Table4[[#This Row],[Median]],5)</f>
        <v>55</v>
      </c>
      <c r="N94" s="1">
        <f t="shared" si="6"/>
        <v>-44</v>
      </c>
      <c r="O94" s="1">
        <f t="shared" si="7"/>
        <v>55</v>
      </c>
    </row>
    <row r="95" spans="2:15" x14ac:dyDescent="0.2">
      <c r="B95" t="s">
        <v>25</v>
      </c>
      <c r="C95" t="s">
        <v>28</v>
      </c>
      <c r="D95" t="s">
        <v>16</v>
      </c>
      <c r="E95" t="s">
        <v>17</v>
      </c>
      <c r="F95" s="6">
        <v>62.183310039440798</v>
      </c>
      <c r="G95" s="6">
        <v>33.125103242003597</v>
      </c>
      <c r="H95" s="6">
        <v>121.640597820115</v>
      </c>
      <c r="I95" s="1" t="s">
        <v>18</v>
      </c>
      <c r="J95" s="1">
        <v>210</v>
      </c>
      <c r="K95" s="1" t="b">
        <f>IF(Table4[[#This Row],[Ref2023]]&gt;Table4[[#This Row],[Median]],TRUE,FALSE)</f>
        <v>1</v>
      </c>
      <c r="L95" s="1">
        <f>Table4[[#This Row],[Ref2023]]+Table4[[#This Row],[Median]]</f>
        <v>272.18331003944081</v>
      </c>
      <c r="M95" s="1">
        <f>CEILING(Table4[[#This Row],[Median]],5)</f>
        <v>65</v>
      </c>
      <c r="N95" s="1">
        <f t="shared" si="6"/>
        <v>-34</v>
      </c>
      <c r="O95" s="1">
        <f t="shared" si="7"/>
        <v>65</v>
      </c>
    </row>
    <row r="96" spans="2:15" x14ac:dyDescent="0.2">
      <c r="B96" t="s">
        <v>40</v>
      </c>
      <c r="N96" s="1">
        <f>SUBTOTAL(104,Table4[[Antal iterationer ]])</f>
        <v>-34</v>
      </c>
      <c r="O96" s="1">
        <f>SUBTOTAL(104,Table4[Slutværdi])</f>
        <v>65</v>
      </c>
    </row>
    <row r="103" spans="1:3" x14ac:dyDescent="0.2">
      <c r="A103" t="s">
        <v>29</v>
      </c>
    </row>
    <row r="108" spans="1:3" x14ac:dyDescent="0.2">
      <c r="B108" s="7" t="s">
        <v>30</v>
      </c>
      <c r="C108" s="7">
        <v>281</v>
      </c>
    </row>
    <row r="109" spans="1:3" x14ac:dyDescent="0.2">
      <c r="B109" t="s">
        <v>31</v>
      </c>
      <c r="C109">
        <v>255</v>
      </c>
    </row>
    <row r="110" spans="1:3" x14ac:dyDescent="0.2">
      <c r="B110" t="s">
        <v>32</v>
      </c>
      <c r="C110">
        <v>1</v>
      </c>
    </row>
    <row r="111" spans="1:3" x14ac:dyDescent="0.2">
      <c r="B111" s="8" t="s">
        <v>33</v>
      </c>
      <c r="C111" s="8">
        <f>(C108-C109)/C110+1</f>
        <v>27</v>
      </c>
    </row>
    <row r="112" spans="1:3" x14ac:dyDescent="0.2">
      <c r="B112" s="8" t="s">
        <v>34</v>
      </c>
      <c r="C112" s="8">
        <f>C109+((C111-1)*C110)</f>
        <v>281</v>
      </c>
    </row>
  </sheetData>
  <phoneticPr fontId="2" type="noConversion"/>
  <pageMargins left="0.7" right="0.7" top="0.75" bottom="0.75" header="0.3" footer="0.3"/>
  <drawing r:id="rId1"/>
  <tableParts count="4">
    <tablePart r:id="rId2"/>
    <tablePart r:id="rId3"/>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1AE42-F32E-4E2E-AB99-BB72C0448D06}">
  <dimension ref="A1"/>
  <sheetViews>
    <sheetView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SSP</vt:lpstr>
      <vt:lpstr>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Kjær</dc:creator>
  <cp:lastModifiedBy>Johan Kjær</cp:lastModifiedBy>
  <dcterms:created xsi:type="dcterms:W3CDTF">2025-03-10T13:16:24Z</dcterms:created>
  <dcterms:modified xsi:type="dcterms:W3CDTF">2025-04-10T12:33:01Z</dcterms:modified>
</cp:coreProperties>
</file>