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0857cad236869d5/Skrivebord_LapTop/Bachelorprojekt/Data_Raw/"/>
    </mc:Choice>
  </mc:AlternateContent>
  <xr:revisionPtr revIDLastSave="180" documentId="8_{85D1A0B4-D6D5-47F7-904B-293199914CF8}" xr6:coauthVersionLast="47" xr6:coauthVersionMax="47" xr10:uidLastSave="{E5710150-E413-4231-B496-6DB2D4FB465F}"/>
  <bookViews>
    <workbookView xWindow="28680" yWindow="-120" windowWidth="29040" windowHeight="17640" activeTab="4" xr2:uid="{42697A2F-441E-4B6F-993F-8E6F88DA6588}"/>
  </bookViews>
  <sheets>
    <sheet name="info" sheetId="5" r:id="rId1"/>
    <sheet name="aabenraa" sheetId="1" r:id="rId2"/>
    <sheet name="gedser" sheetId="2" r:id="rId3"/>
    <sheet name="hesnæs" sheetId="4" r:id="rId4"/>
    <sheet name="præstø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12" i="3"/>
  <c r="D22" i="3"/>
  <c r="G22" i="1"/>
  <c r="D22" i="1"/>
  <c r="D14" i="1"/>
  <c r="D20" i="1"/>
  <c r="D13" i="1"/>
  <c r="D10" i="1"/>
  <c r="D9" i="1"/>
  <c r="H24" i="3"/>
  <c r="D24" i="3"/>
  <c r="H24" i="4"/>
  <c r="D24" i="4"/>
  <c r="H23" i="2"/>
  <c r="D23" i="2"/>
  <c r="H19" i="3"/>
  <c r="H18" i="3"/>
  <c r="D16" i="4"/>
  <c r="H15" i="4"/>
  <c r="D15" i="4"/>
  <c r="H6" i="4"/>
  <c r="H17" i="4" s="1"/>
  <c r="D6" i="4"/>
  <c r="D8" i="4" s="1"/>
  <c r="H15" i="3"/>
  <c r="D15" i="3"/>
  <c r="H6" i="3"/>
  <c r="D6" i="3"/>
  <c r="D8" i="3" s="1"/>
  <c r="H14" i="2"/>
  <c r="H7" i="2"/>
  <c r="H5" i="2"/>
  <c r="H16" i="2" s="1"/>
  <c r="D14" i="2"/>
  <c r="D5" i="2"/>
  <c r="D9" i="2" s="1"/>
  <c r="G13" i="1"/>
  <c r="G4" i="1"/>
  <c r="G6" i="1" s="1"/>
  <c r="D4" i="1"/>
  <c r="H17" i="3" l="1"/>
  <c r="H8" i="3"/>
  <c r="H8" i="4"/>
  <c r="H15" i="2"/>
  <c r="D7" i="2"/>
  <c r="D10" i="2" s="1"/>
  <c r="D11" i="2" s="1"/>
  <c r="D12" i="2" s="1"/>
  <c r="D16" i="2"/>
  <c r="H9" i="2"/>
  <c r="H10" i="2" s="1"/>
  <c r="H17" i="2"/>
  <c r="D15" i="1"/>
  <c r="D16" i="1" s="1"/>
  <c r="D17" i="1" s="1"/>
  <c r="G14" i="1"/>
  <c r="D6" i="1"/>
  <c r="H16" i="4"/>
  <c r="H18" i="4" s="1"/>
  <c r="D10" i="4"/>
  <c r="D11" i="4" s="1"/>
  <c r="D12" i="4" s="1"/>
  <c r="D13" i="4" s="1"/>
  <c r="H10" i="4"/>
  <c r="H11" i="4" s="1"/>
  <c r="D17" i="4"/>
  <c r="D18" i="4" s="1"/>
  <c r="D19" i="4" s="1"/>
  <c r="D20" i="4" s="1"/>
  <c r="D22" i="4" s="1"/>
  <c r="D23" i="4" s="1"/>
  <c r="D10" i="3"/>
  <c r="D11" i="3" s="1"/>
  <c r="D13" i="3" s="1"/>
  <c r="D17" i="3"/>
  <c r="H10" i="3"/>
  <c r="G8" i="1"/>
  <c r="G9" i="1" s="1"/>
  <c r="D8" i="1"/>
  <c r="D11" i="1" s="1"/>
  <c r="G15" i="1"/>
  <c r="G16" i="1" l="1"/>
  <c r="D18" i="3"/>
  <c r="D19" i="3" s="1"/>
  <c r="D20" i="3" s="1"/>
  <c r="D23" i="3" s="1"/>
  <c r="H16" i="3"/>
  <c r="H11" i="3"/>
  <c r="H12" i="3" s="1"/>
  <c r="H13" i="3" s="1"/>
  <c r="H12" i="4"/>
  <c r="H13" i="4" s="1"/>
  <c r="H11" i="2"/>
  <c r="H18" i="2" s="1"/>
  <c r="H19" i="2" s="1"/>
  <c r="H21" i="2" s="1"/>
  <c r="H22" i="2" s="1"/>
  <c r="D15" i="2"/>
  <c r="D17" i="2"/>
  <c r="D18" i="2" s="1"/>
  <c r="D19" i="2" s="1"/>
  <c r="D21" i="2" s="1"/>
  <c r="D22" i="2" s="1"/>
  <c r="G10" i="1"/>
  <c r="G11" i="1" s="1"/>
  <c r="H19" i="4"/>
  <c r="H20" i="4" s="1"/>
  <c r="H22" i="4" s="1"/>
  <c r="H23" i="4" s="1"/>
  <c r="D18" i="1"/>
  <c r="D21" i="1" l="1"/>
  <c r="H20" i="3"/>
  <c r="H22" i="3" s="1"/>
  <c r="H23" i="3" s="1"/>
  <c r="H12" i="2"/>
  <c r="G17" i="1"/>
  <c r="G18" i="1" s="1"/>
  <c r="G20" i="1" s="1"/>
  <c r="G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Kjær</author>
  </authors>
  <commentList>
    <comment ref="C3" authorId="0" shapeId="0" xr:uid="{2B0A25C4-D8D0-4C77-9A73-040F2E91EDD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Referenceperioden som IPCC AR6 bruger
</t>
        </r>
      </text>
    </comment>
    <comment ref="F3" authorId="0" shapeId="0" xr:uid="{80997471-CEB0-42F6-A9AE-0F09734F55B9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Referenceperioden som IPCC AR6 bruger
</t>
        </r>
      </text>
    </comment>
    <comment ref="C4" authorId="0" shapeId="0" xr:uid="{E6F5AE6B-FE5F-452F-9621-6DDD068BF4AE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IPCCs referenceperiode</t>
        </r>
      </text>
    </comment>
    <comment ref="F4" authorId="0" shapeId="0" xr:uid="{C649B108-F3CA-486A-9E0A-3E850A514C0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IPCCs referenceperiode</t>
        </r>
      </text>
    </comment>
    <comment ref="C5" authorId="0" shapeId="0" xr:uid="{8F181829-3ED1-47C7-BF4E-9364138CB60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Året for projektionsparameteren</t>
        </r>
      </text>
    </comment>
    <comment ref="F5" authorId="0" shapeId="0" xr:uid="{54209A3A-9A87-4B9D-BE8F-20D3EE10BAB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Året for projektionsparameteren</t>
        </r>
      </text>
    </comment>
    <comment ref="C6" authorId="0" shapeId="0" xr:uid="{38F3E0CE-923E-49EA-B0C6-866B0B3DB9B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Differencen mellem midtpunktet af referenceperioden og projektionsparameteren</t>
        </r>
      </text>
    </comment>
    <comment ref="F6" authorId="0" shapeId="0" xr:uid="{DB68F22D-77CC-439F-BCB9-808DC4AB1CC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Differencen mellem midtpunktet af referenceperioden og projektionsparameteren</t>
        </r>
      </text>
    </comment>
    <comment ref="C7" authorId="0" shapeId="0" xr:uid="{CBB6CE08-3B47-4E82-8DE5-35703B66014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Målet 2023</t>
        </r>
      </text>
    </comment>
    <comment ref="F7" authorId="0" shapeId="0" xr:uid="{4CDB8C57-0666-4B2D-A284-F0F66657F74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Målet 2023</t>
        </r>
      </text>
    </comment>
    <comment ref="C8" authorId="0" shapeId="0" xr:uid="{0BB0F058-D83A-4D13-BFB5-699F81DB7FE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 mellem referencemidtpunktet og mål året</t>
        </r>
      </text>
    </comment>
    <comment ref="F8" authorId="0" shapeId="0" xr:uid="{6A16E1EA-48FD-472A-82B1-1711B633464E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 mellem referencemidtpunktet og mål året</t>
        </r>
      </text>
    </comment>
    <comment ref="C9" authorId="0" shapeId="0" xr:uid="{1F796362-C2D7-4703-B396-AF31F80D7140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Brøkdelen af antal år der er gået fra referencemidtpunktet til projektionsåret og mål året</t>
        </r>
      </text>
    </comment>
    <comment ref="F9" authorId="0" shapeId="0" xr:uid="{AB00B8E7-C5F2-4850-8FAC-068A21F12C1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Brøkdelen af antal år der er gået fra referencemidtpunktet til projektionsåret og mål året</t>
        </r>
      </text>
    </comment>
    <comment ref="C10" authorId="0" shapeId="0" xr:uid="{31A15EDA-EA69-4015-B89D-59B0EAACB2A3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Vandstanden i 2023 ift NASA baseline</t>
        </r>
      </text>
    </comment>
    <comment ref="F10" authorId="0" shapeId="0" xr:uid="{A888578D-DCDD-4AE7-9600-4778C3758FDC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Vandstanden i 2023 ift NASA baseline</t>
        </r>
      </text>
    </comment>
    <comment ref="C12" authorId="0" shapeId="0" xr:uid="{02F6A964-916E-4C8C-B3ED-C8221262212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Baseline referenceperiode som DMI bruger</t>
        </r>
      </text>
    </comment>
    <comment ref="F12" authorId="0" shapeId="0" xr:uid="{0E0B2928-CF30-4CB1-BCB4-E39C373F249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Baseline referenceperiode som DMI bruger</t>
        </r>
      </text>
    </comment>
    <comment ref="C13" authorId="0" shapeId="0" xr:uid="{0FEFA0AF-B71D-4B10-A53F-9F61AEB35CF2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DMIs referenceperiode</t>
        </r>
      </text>
    </comment>
    <comment ref="F13" authorId="0" shapeId="0" xr:uid="{D7FD7C2E-7AC3-4369-ACA4-B68519C9DDF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DMIs referenceperiode</t>
        </r>
      </text>
    </comment>
    <comment ref="C14" authorId="0" shapeId="0" xr:uid="{0950A6D8-22DF-4FB5-9F86-6773FA6BF3F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Raten af vandstandsstigning ift. NASAs referencemidtpunkt i meter per år</t>
        </r>
      </text>
    </comment>
    <comment ref="F14" authorId="0" shapeId="0" xr:uid="{F0E6F946-7E20-4C07-808E-DF2047804B9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Raten af vandstandsstigning ift. NASAs referencemidtpunkt i meter per år</t>
        </r>
      </text>
    </comment>
    <comment ref="C15" authorId="0" shapeId="0" xr:uid="{05F9A02F-B6D2-4D37-A397-538BBF4BDF5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Forskellen i år mellem DMI og NASAs referencemidtpunkt</t>
        </r>
      </text>
    </comment>
    <comment ref="F15" authorId="0" shapeId="0" xr:uid="{4C23D21F-C4C3-43FF-AA25-09A12EE7C93A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Forskellen i år mellem DMI og NASAs referencemidtpunkt</t>
        </r>
      </text>
    </comment>
    <comment ref="C16" authorId="0" shapeId="0" xr:uid="{451B0C13-2D70-4729-A0E1-6CD24C8AF02C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Stigningen i havniveau fra 1995 til 2005</t>
        </r>
      </text>
    </comment>
    <comment ref="F16" authorId="0" shapeId="0" xr:uid="{C91F8DE9-994C-461B-9D47-09545DC4412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Stigningen i havniveau fra 1995 til 2005</t>
        </r>
      </text>
    </comment>
    <comment ref="C17" authorId="0" shapeId="0" xr:uid="{4386D737-1FA9-4311-9781-8D7E4B1417F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nye vandstandsstigning i 2023 ift. DMIs referencemidtpunkt</t>
        </r>
      </text>
    </comment>
    <comment ref="F17" authorId="0" shapeId="0" xr:uid="{1A357989-2161-4B61-A367-7E216156519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nye vandstandsstigning i 2023 ift. DMIs referencemidtpunkt</t>
        </r>
      </text>
    </comment>
    <comment ref="C19" authorId="0" shapeId="0" xr:uid="{4A65B7DD-7EB6-445D-BC4C-357F84DE8D9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Vandstandsniveauet i slutningen af århundredet  ift til DMIs referencemidtpunkt.
Fra Klimaatlas</t>
        </r>
      </text>
    </comment>
    <comment ref="F19" authorId="0" shapeId="0" xr:uid="{860E057E-F967-44AF-A052-37ABF370154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Vandstandsniveauet i slutningen af århundredet  ift til DMIs referencemidtpunkt.
Fra Klimaatlas</t>
        </r>
      </text>
    </comment>
    <comment ref="C20" authorId="0" shapeId="0" xr:uid="{852E5EE3-3D0F-45F9-8269-DD23C750A5A3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reelle vandstandsstigning fra 2023 til slutningen af århundredet</t>
        </r>
      </text>
    </comment>
    <comment ref="F20" authorId="0" shapeId="0" xr:uid="{4CD30AAE-CC7B-4A95-A042-C3EC437671DC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reelle vandstandsstigning fra 2023 til slutningen af århundredet</t>
        </r>
      </text>
    </comment>
    <comment ref="D32" authorId="0" shapeId="0" xr:uid="{8DA2EE38-FA5C-4F3E-B31B-B2CF82C46F67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Total Sea Level Rise Median
</t>
        </r>
      </text>
    </comment>
    <comment ref="D42" authorId="0" shapeId="0" xr:uid="{DF9695F3-C209-4D10-8AED-AB8515C40DC0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Total Sea Level Rise Median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Kjær</author>
  </authors>
  <commentList>
    <comment ref="C4" authorId="0" shapeId="0" xr:uid="{5F713F2C-3761-4409-B71A-7839EC8C6CAE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Referenceperioden som IPCC AR6 bruger
</t>
        </r>
      </text>
    </comment>
    <comment ref="G4" authorId="0" shapeId="0" xr:uid="{CF88EA9E-ACE7-4E42-B17F-C707F928A542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Referenceperioden som IPCC AR6 bruger
</t>
        </r>
      </text>
    </comment>
    <comment ref="C5" authorId="0" shapeId="0" xr:uid="{5D679657-C73C-4E59-B231-EA868DA2336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IPCCs referenceperiode</t>
        </r>
      </text>
    </comment>
    <comment ref="G5" authorId="0" shapeId="0" xr:uid="{CC7CED34-80A9-46AE-A83B-7E2F190CD7E9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IPCCs referenceperiode</t>
        </r>
      </text>
    </comment>
    <comment ref="C6" authorId="0" shapeId="0" xr:uid="{61C9AAB6-896E-413E-A9E5-842150D3BFA9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Året for projektionsparameteren</t>
        </r>
      </text>
    </comment>
    <comment ref="G6" authorId="0" shapeId="0" xr:uid="{B229E9C0-E48E-46B3-BA81-EBDF95A8DE4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Året for projektionsparameteren</t>
        </r>
      </text>
    </comment>
    <comment ref="C7" authorId="0" shapeId="0" xr:uid="{4A6B3159-2E67-483D-8296-C0BF32322ADA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Differencen mellem midtpunktet af referenceperioden og projektionsparameteren</t>
        </r>
      </text>
    </comment>
    <comment ref="G7" authorId="0" shapeId="0" xr:uid="{87D7E70A-0EA5-48B0-AD25-36AAEB3A526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Differencen mellem midtpunktet af referenceperioden og projektionsparameteren</t>
        </r>
      </text>
    </comment>
    <comment ref="C8" authorId="0" shapeId="0" xr:uid="{2AE8D69C-5928-4BC0-9129-63D3E8A225DE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Målet 2023</t>
        </r>
      </text>
    </comment>
    <comment ref="G8" authorId="0" shapeId="0" xr:uid="{1885A1F2-BD12-4653-9E44-D295AADE546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Målet 2023</t>
        </r>
      </text>
    </comment>
    <comment ref="C9" authorId="0" shapeId="0" xr:uid="{88F7BF9A-6276-4625-A45F-656E0C54CFC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 mellem referencemidtpunktet og mål året</t>
        </r>
      </text>
    </comment>
    <comment ref="G9" authorId="0" shapeId="0" xr:uid="{9A4C916C-F190-44A5-9E8A-4B923167E04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 mellem referencemidtpunktet og mål året</t>
        </r>
      </text>
    </comment>
    <comment ref="C10" authorId="0" shapeId="0" xr:uid="{D050E645-8A45-461A-AD04-919C80AF34E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Brøkdelen af antal år der er gået fra referencemidtpunktet til projektionsåret og mål året</t>
        </r>
      </text>
    </comment>
    <comment ref="G10" authorId="0" shapeId="0" xr:uid="{DF66C7DA-487F-4C3F-BEF2-8FA56DA672A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Brøkdelen af antal år der er gået fra referencemidtpunktet til projektionsåret og mål året</t>
        </r>
      </text>
    </comment>
    <comment ref="C11" authorId="0" shapeId="0" xr:uid="{F9DA6022-68BA-4978-9E1F-4F5EFA6D1AE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Vandstanden i 2023 ift NASA baseline</t>
        </r>
      </text>
    </comment>
    <comment ref="G11" authorId="0" shapeId="0" xr:uid="{5B13001D-91FB-4816-84F7-1DB47A84180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Vandstanden i 2023 ift NASA baseline</t>
        </r>
      </text>
    </comment>
    <comment ref="C13" authorId="0" shapeId="0" xr:uid="{41EEDDAB-8356-4F49-8663-BD595979BD91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Baseline referenceperiode som DMI bruger</t>
        </r>
      </text>
    </comment>
    <comment ref="G13" authorId="0" shapeId="0" xr:uid="{76ACF8FB-95D0-464F-AFC2-2955067002B9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Baseline referenceperiode som DMI bruger</t>
        </r>
      </text>
    </comment>
    <comment ref="C14" authorId="0" shapeId="0" xr:uid="{E44813D3-FEBF-4DDD-8BD0-CF7D64EE6C8A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DMIs referenceperiode</t>
        </r>
      </text>
    </comment>
    <comment ref="G14" authorId="0" shapeId="0" xr:uid="{557089DA-87A2-4561-B52B-4D67F4EB8EA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DMIs referenceperiode</t>
        </r>
      </text>
    </comment>
    <comment ref="C15" authorId="0" shapeId="0" xr:uid="{925EBE10-6CFC-4340-A79B-F79AAFD47D7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Raten af vandstandsstigning ift. NASAs referencemidtpunkt i meter per år</t>
        </r>
      </text>
    </comment>
    <comment ref="G15" authorId="0" shapeId="0" xr:uid="{09D9F0D5-A82D-46B1-BF41-47E2DA017330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Raten af vandstandsstigning ift. NASAs referencemidtpunkt i meter per år</t>
        </r>
      </text>
    </comment>
    <comment ref="C16" authorId="0" shapeId="0" xr:uid="{CF7BBC4E-DBA5-4055-8745-95645A22D42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Forskellen i år mellem DMI og NASAs referencemidtpunkt</t>
        </r>
      </text>
    </comment>
    <comment ref="G16" authorId="0" shapeId="0" xr:uid="{593A15FD-0147-4751-9A68-EC9601F92AD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Forskellen i år mellem DMI og NASAs referencemidtpunkt</t>
        </r>
      </text>
    </comment>
    <comment ref="C17" authorId="0" shapeId="0" xr:uid="{1F02B59C-8265-47D6-9BBF-43C133ECAC4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Stigningen i havniveau fra 1995 til 2005</t>
        </r>
      </text>
    </comment>
    <comment ref="G17" authorId="0" shapeId="0" xr:uid="{A7159DA3-BE91-4AAD-AB50-1584304D08C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Stigningen i havniveau fra 1995 til 2005</t>
        </r>
      </text>
    </comment>
    <comment ref="C18" authorId="0" shapeId="0" xr:uid="{BA939DA1-1113-4981-BF1A-6AED6ADA0E43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nye vandstandsstigning i 2023 ift. DMIs referencemidtpunkt</t>
        </r>
      </text>
    </comment>
    <comment ref="G18" authorId="0" shapeId="0" xr:uid="{4A523C8A-B391-4926-92EF-8BAA4E2D179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nye vandstandsstigning i 2023 ift. DMIs referencemidtpunkt</t>
        </r>
      </text>
    </comment>
    <comment ref="C20" authorId="0" shapeId="0" xr:uid="{904C96E0-5399-40C1-BE6B-7B3191D8BB4A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Vandstandsniveauet i slutningen af århundredet  ift til DMIs referencemidtpunkt</t>
        </r>
      </text>
    </comment>
    <comment ref="G20" authorId="0" shapeId="0" xr:uid="{2FE55F04-36C5-4E20-870E-086F4CD2615A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Vandstandsniveauet i slutningen af århundredet  ift til DMIs referencemidtpunkt</t>
        </r>
      </text>
    </comment>
    <comment ref="C21" authorId="0" shapeId="0" xr:uid="{1585E562-8A29-4795-9178-2BF900B48A01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reelle vandstandsstigning fra 2023 til slutningen af århundredet</t>
        </r>
      </text>
    </comment>
    <comment ref="G21" authorId="0" shapeId="0" xr:uid="{1B1C14E9-9E11-4160-A52D-6CA79C85F18C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reelle vandstandsstigning fra 2023 til slutningen af århundredet</t>
        </r>
      </text>
    </comment>
    <comment ref="D33" authorId="0" shapeId="0" xr:uid="{919DA0BD-A1CA-49B4-8862-9473EDAAA6C3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Total Sea Level Rise Median
</t>
        </r>
      </text>
    </comment>
    <comment ref="D43" authorId="0" shapeId="0" xr:uid="{20699F13-46D2-458F-979E-FAEC4C000A3A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Total Sea Level Rise Median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Kjær</author>
  </authors>
  <commentList>
    <comment ref="C5" authorId="0" shapeId="0" xr:uid="{FD233174-0530-4DE8-A74C-56B1DC96881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Referenceperioden som IPCC AR6 bruger
</t>
        </r>
      </text>
    </comment>
    <comment ref="G5" authorId="0" shapeId="0" xr:uid="{D479970B-F752-4ECE-AC75-4B32B8E8524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Referenceperioden som IPCC AR6 bruger
</t>
        </r>
      </text>
    </comment>
    <comment ref="C6" authorId="0" shapeId="0" xr:uid="{CBC95501-4188-4EBC-8511-CEBBFA8236D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IPCCs referenceperiode</t>
        </r>
      </text>
    </comment>
    <comment ref="G6" authorId="0" shapeId="0" xr:uid="{BB5DDC37-AF75-4D21-9CC0-44E0D890E170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IPCCs referenceperiode</t>
        </r>
      </text>
    </comment>
    <comment ref="C7" authorId="0" shapeId="0" xr:uid="{1A4E8417-9424-4619-ADB9-D0EDAFDA0857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Året for projektionsparameteren</t>
        </r>
      </text>
    </comment>
    <comment ref="G7" authorId="0" shapeId="0" xr:uid="{7387939C-4691-4540-9A64-20415D12736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Året for projektionsparameteren</t>
        </r>
      </text>
    </comment>
    <comment ref="C8" authorId="0" shapeId="0" xr:uid="{6E9A0133-4FAC-4D52-AB09-FEE69A44B2C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Differencen mellem midtpunktet af referenceperioden og projektionsparameteren</t>
        </r>
      </text>
    </comment>
    <comment ref="G8" authorId="0" shapeId="0" xr:uid="{590D2477-42EC-4FB4-8F17-E46B1092EF1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Differencen mellem midtpunktet af referenceperioden og projektionsparameteren</t>
        </r>
      </text>
    </comment>
    <comment ref="C9" authorId="0" shapeId="0" xr:uid="{B1848880-B474-451A-B835-288EEF35959E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Målet 2023</t>
        </r>
      </text>
    </comment>
    <comment ref="G9" authorId="0" shapeId="0" xr:uid="{4888E298-F5A2-4564-A3E0-72047EE16F69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Målet 2023</t>
        </r>
      </text>
    </comment>
    <comment ref="C10" authorId="0" shapeId="0" xr:uid="{CAA433AC-0357-4046-99FE-9F21C5F782E1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 mellem referencemidtpunktet og mål året</t>
        </r>
      </text>
    </comment>
    <comment ref="G10" authorId="0" shapeId="0" xr:uid="{4FBF0A44-F6D1-4236-AD87-C5BD5DE511FA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 mellem referencemidtpunktet og mål året</t>
        </r>
      </text>
    </comment>
    <comment ref="C11" authorId="0" shapeId="0" xr:uid="{EA01E4E2-4C16-412F-8A76-9186CB547D1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Brøkdelen af antal år der er gået fra referencemidtpunktet til projektionsåret og mål året</t>
        </r>
      </text>
    </comment>
    <comment ref="G11" authorId="0" shapeId="0" xr:uid="{03574ACD-C49C-4EF0-9F69-57647E1A2297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Brøkdelen af antal år der er gået fra referencemidtpunktet til projektionsåret og mål året</t>
        </r>
      </text>
    </comment>
    <comment ref="C12" authorId="0" shapeId="0" xr:uid="{2E0F5E1B-D459-4921-9962-023044545B52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Vandstanden i 2023 ift NASA baseline</t>
        </r>
      </text>
    </comment>
    <comment ref="G12" authorId="0" shapeId="0" xr:uid="{56B92430-0BD0-4E0F-9D6C-A795943ED3B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Vandstanden i 2023 ift NASA baseline</t>
        </r>
      </text>
    </comment>
    <comment ref="C14" authorId="0" shapeId="0" xr:uid="{7311FAA5-2877-4913-AD14-A0DC9AD24F50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Baseline referenceperiode som DMI bruger</t>
        </r>
      </text>
    </comment>
    <comment ref="G14" authorId="0" shapeId="0" xr:uid="{B95B2CAF-73B2-49A2-A179-B555050C7597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Baseline referenceperiode som DMI bruger</t>
        </r>
      </text>
    </comment>
    <comment ref="C15" authorId="0" shapeId="0" xr:uid="{88801B3D-8B49-4735-97F3-BB382A05504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DMIs referenceperiode</t>
        </r>
      </text>
    </comment>
    <comment ref="G15" authorId="0" shapeId="0" xr:uid="{9AE38576-C89C-4A2D-A8CC-2FAB026D0F9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DMIs referenceperiode</t>
        </r>
      </text>
    </comment>
    <comment ref="C16" authorId="0" shapeId="0" xr:uid="{D320108E-2782-498A-A14C-8FC1BC33F83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Raten af vandstandsstigning ift. NASAs referencemidtpunkt i meter per år</t>
        </r>
      </text>
    </comment>
    <comment ref="G16" authorId="0" shapeId="0" xr:uid="{69E9B1FF-5D51-4712-A7AB-F2E6A7D45E0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Raten af vandstandsstigning ift. NASAs referencemidtpunkt i meter per år</t>
        </r>
      </text>
    </comment>
    <comment ref="C17" authorId="0" shapeId="0" xr:uid="{34D058BE-7435-4185-AD4F-68EB9C0D089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Forskellen i år mellem DMI og NASAs referencemidtpunkt</t>
        </r>
      </text>
    </comment>
    <comment ref="G17" authorId="0" shapeId="0" xr:uid="{6358CCF0-00D2-4B4C-B83D-163AF325E58E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Forskellen i år mellem DMI og NASAs referencemidtpunkt</t>
        </r>
      </text>
    </comment>
    <comment ref="C18" authorId="0" shapeId="0" xr:uid="{104F90E7-9575-43D8-B5F1-BB710B8A8AF9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Stigningen i havniveau fra 1995 til 2005</t>
        </r>
      </text>
    </comment>
    <comment ref="G18" authorId="0" shapeId="0" xr:uid="{5F2B2B47-939D-4246-8AA0-BE1D583E6857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Stigningen i havniveau fra 1995 til 2005</t>
        </r>
      </text>
    </comment>
    <comment ref="C19" authorId="0" shapeId="0" xr:uid="{F16E08D5-56B3-45FD-A416-38851D2EF5B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nye vandstandsstigning i 2023 ift. DMIs referencemidtpunkt</t>
        </r>
      </text>
    </comment>
    <comment ref="G19" authorId="0" shapeId="0" xr:uid="{4A77AA4E-6FBB-4FEA-AF70-0F52945C249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nye vandstandsstigning i 2023 ift. DMIs referencemidtpunkt</t>
        </r>
      </text>
    </comment>
    <comment ref="C21" authorId="0" shapeId="0" xr:uid="{4999F912-9045-4BFB-9D7B-7C69A850269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Vandstandsniveauet i slutningen af århundredet  ift til DMIs referencemidtpunkt</t>
        </r>
      </text>
    </comment>
    <comment ref="G21" authorId="0" shapeId="0" xr:uid="{12A21926-F2DF-4724-B22B-61346FE2418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Vandstandsniveauet i slutningen af århundredet  ift til DMIs referencemidtpunkt</t>
        </r>
      </text>
    </comment>
    <comment ref="C22" authorId="0" shapeId="0" xr:uid="{112217D9-049A-4437-90CA-122221586E03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reelle vandstandsstigning fra 2023 til slutningen af århundredet</t>
        </r>
      </text>
    </comment>
    <comment ref="G22" authorId="0" shapeId="0" xr:uid="{53C42882-B5C4-4825-80C4-4BAD6F421780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reelle vandstandsstigning fra 2023 til slutningen af århundredet</t>
        </r>
      </text>
    </comment>
    <comment ref="D34" authorId="0" shapeId="0" xr:uid="{D4C86F31-4926-4BF9-828C-B239C142ECC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Total Sea Level Rise Median
</t>
        </r>
      </text>
    </comment>
    <comment ref="D44" authorId="0" shapeId="0" xr:uid="{86D1998F-331E-4679-A477-5A06D9A689B7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Total Sea Level Rise Median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Kjær</author>
  </authors>
  <commentList>
    <comment ref="C5" authorId="0" shapeId="0" xr:uid="{74678571-858C-4659-95F7-02D65E61215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Referenceperioden som IPCC AR6 bruger
</t>
        </r>
      </text>
    </comment>
    <comment ref="G5" authorId="0" shapeId="0" xr:uid="{30A8DAAF-2D53-4F38-9BA6-DBA0CC662569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Referenceperioden som IPCC AR6 bruger
</t>
        </r>
      </text>
    </comment>
    <comment ref="C6" authorId="0" shapeId="0" xr:uid="{69EFE306-69D5-4D03-918E-B26236126B7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IPCCs referenceperiode</t>
        </r>
      </text>
    </comment>
    <comment ref="G6" authorId="0" shapeId="0" xr:uid="{A223C6E4-7C62-4E6C-880E-1EC34534981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IPCCs referenceperiode</t>
        </r>
      </text>
    </comment>
    <comment ref="C7" authorId="0" shapeId="0" xr:uid="{A44C3C72-72FD-4F31-89F5-047D11B6572D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Året for projektionsparameteren</t>
        </r>
      </text>
    </comment>
    <comment ref="G7" authorId="0" shapeId="0" xr:uid="{EDE571BF-E24E-48BD-88D8-715A44A02CC7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Året for projektionsparameteren</t>
        </r>
      </text>
    </comment>
    <comment ref="C8" authorId="0" shapeId="0" xr:uid="{83C0EA21-369F-4A75-A282-570ECCDE267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Differencen mellem midtpunktet af referenceperioden og projektionsparameteren</t>
        </r>
      </text>
    </comment>
    <comment ref="G8" authorId="0" shapeId="0" xr:uid="{3D6DAF45-9135-44B8-B2A9-F084D6B2F651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Differencen mellem midtpunktet af referenceperioden og projektionsparameteren</t>
        </r>
      </text>
    </comment>
    <comment ref="C9" authorId="0" shapeId="0" xr:uid="{CC7BA9AA-57D8-4939-8692-953E5EB0F3E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Målet 2023</t>
        </r>
      </text>
    </comment>
    <comment ref="G9" authorId="0" shapeId="0" xr:uid="{516E7DBF-DF9E-4E1E-8B08-414137DA9E4C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Målet 2023</t>
        </r>
      </text>
    </comment>
    <comment ref="C10" authorId="0" shapeId="0" xr:uid="{F38106EF-50F8-4D68-9C36-5D22371F34A9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 mellem referencemidtpunktet og mål året</t>
        </r>
      </text>
    </comment>
    <comment ref="G10" authorId="0" shapeId="0" xr:uid="{1278F44D-EF89-44F9-8AD2-865971BD9A12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Difference mellem referencemidtpunktet og mål året</t>
        </r>
      </text>
    </comment>
    <comment ref="C11" authorId="0" shapeId="0" xr:uid="{6B5D9D50-A3A9-4EC8-BC20-0F17F879DBA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Brøkdelen af antal år der er gået fra referencemidtpunktet til projektionsåret og mål året</t>
        </r>
      </text>
    </comment>
    <comment ref="G11" authorId="0" shapeId="0" xr:uid="{B4FDE00D-0A7A-41C9-8623-5E190CC732EC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Brøkdelen af antal år der er gået fra referencemidtpunktet til projektionsåret og mål året</t>
        </r>
      </text>
    </comment>
    <comment ref="C12" authorId="0" shapeId="0" xr:uid="{C134EE7D-F4AD-46F0-B99B-76671CFBFEE1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Vandstanden i 2023 ift NASA baseline</t>
        </r>
      </text>
    </comment>
    <comment ref="G12" authorId="0" shapeId="0" xr:uid="{2C75B3C3-F0B8-4094-B882-CEDC85CC0E2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Vandstanden i 2023 ift NASA baseline</t>
        </r>
      </text>
    </comment>
    <comment ref="C14" authorId="0" shapeId="0" xr:uid="{534267D3-75F7-45AB-8CDA-439CC72656FE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Baseline referenceperiode som DMI bruger</t>
        </r>
      </text>
    </comment>
    <comment ref="G14" authorId="0" shapeId="0" xr:uid="{C5D7B532-B8AE-42E5-8DAD-396EDF02FF2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Baseline referenceperiode som DMI bruger</t>
        </r>
      </text>
    </comment>
    <comment ref="C15" authorId="0" shapeId="0" xr:uid="{3974B4FB-0967-4434-8DC5-1018D8E9BD00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DMIs referenceperiode</t>
        </r>
      </text>
    </comment>
    <comment ref="G15" authorId="0" shapeId="0" xr:uid="{0A7DD5B8-E31C-4113-9C58-129540EC4938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Midtpunktet af DMIs referenceperiode</t>
        </r>
      </text>
    </comment>
    <comment ref="C16" authorId="0" shapeId="0" xr:uid="{CFBD66E0-7A40-47BA-A0BC-E15E2A06EF2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Raten af vandstandsstigning ift. NASAs referencemidtpunkt i meter per år</t>
        </r>
      </text>
    </comment>
    <comment ref="G16" authorId="0" shapeId="0" xr:uid="{90415BCD-760D-4998-877C-E930A9F43F2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Raten af vandstandsstigning ift. NASAs referencemidtpunkt i meter per år</t>
        </r>
      </text>
    </comment>
    <comment ref="C17" authorId="0" shapeId="0" xr:uid="{19B10890-BDF2-422B-AD22-773D3EA782C6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Forskellen i år mellem DMI og NASAs referencemidtpunkt</t>
        </r>
      </text>
    </comment>
    <comment ref="G17" authorId="0" shapeId="0" xr:uid="{925C9BA6-45CA-4FB5-AC31-7DCE6D92783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Forskellen i år mellem DMI og NASAs referencemidtpunkt</t>
        </r>
      </text>
    </comment>
    <comment ref="C18" authorId="0" shapeId="0" xr:uid="{6E67AD0A-32D1-4539-89B0-1BF271BDDF2E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Stigningen i havniveau fra 1995 til 2005</t>
        </r>
      </text>
    </comment>
    <comment ref="G18" authorId="0" shapeId="0" xr:uid="{D30E2CB4-FB55-42E7-894A-E1E660955F5F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Stigningen i havniveau fra 1995 til 2005</t>
        </r>
      </text>
    </comment>
    <comment ref="C19" authorId="0" shapeId="0" xr:uid="{612557BD-D492-4022-B36A-DA1366EDD491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nye vandstandsstigning i 2023 ift. DMIs referencemidtpunkt</t>
        </r>
      </text>
    </comment>
    <comment ref="G19" authorId="0" shapeId="0" xr:uid="{1113B549-8BDE-45D2-BBA6-C871BF2C3DF0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nye vandstandsstigning i 2023 ift. DMIs referencemidtpunkt</t>
        </r>
      </text>
    </comment>
    <comment ref="C21" authorId="0" shapeId="0" xr:uid="{85C73068-2261-4A4B-B3FD-0C9C6BD8DA6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Vandstandsniveauet i slutningen af århundredet  ift til DMIs referencemidtpunkt.
Dette er fra Klimaatlas</t>
        </r>
      </text>
    </comment>
    <comment ref="G21" authorId="0" shapeId="0" xr:uid="{5D42AC2D-0A90-40D8-947D-F0F15880EE3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Vandstandsniveauet i slutningen af århundredet  ift til DMIs referencemidtpunkt.
Dett er fra klimaatlas</t>
        </r>
      </text>
    </comment>
    <comment ref="C22" authorId="0" shapeId="0" xr:uid="{989DCDEF-8BE2-44E9-8286-512964905BF4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reelle vandstandsstigning fra 2023 til slutningen af århundredet</t>
        </r>
      </text>
    </comment>
    <comment ref="G22" authorId="0" shapeId="0" xr:uid="{128D9066-B456-4B88-9F8A-97126A6C1F85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Den reelle vandstandsstigning fra 2023 til slutningen af århundredet</t>
        </r>
      </text>
    </comment>
    <comment ref="D34" authorId="0" shapeId="0" xr:uid="{1069D601-81A5-4FC0-B35C-2FE2F0E4F1EB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Total Sea Level Rise Median
</t>
        </r>
      </text>
    </comment>
    <comment ref="D44" authorId="0" shapeId="0" xr:uid="{AF1A21D7-959C-432C-ADC1-C0A3687FE67C}">
      <text>
        <r>
          <rPr>
            <b/>
            <sz val="9"/>
            <color indexed="81"/>
            <rFont val="Tahoma"/>
            <family val="2"/>
          </rPr>
          <t>Johan Kjær:</t>
        </r>
        <r>
          <rPr>
            <sz val="9"/>
            <color indexed="81"/>
            <rFont val="Tahoma"/>
            <family val="2"/>
          </rPr>
          <t xml:space="preserve">
Total Sea Level Rise Median
</t>
        </r>
      </text>
    </comment>
  </commentList>
</comments>
</file>

<file path=xl/sharedStrings.xml><?xml version="1.0" encoding="utf-8"?>
<sst xmlns="http://schemas.openxmlformats.org/spreadsheetml/2006/main" count="387" uniqueCount="73">
  <si>
    <t>Aabenraa (SSP2-4.5)</t>
  </si>
  <si>
    <t>enhed</t>
  </si>
  <si>
    <t>Aabenraa (SSP5-8.5)</t>
  </si>
  <si>
    <t>Baseline (NASA)</t>
  </si>
  <si>
    <t>1995-2014</t>
  </si>
  <si>
    <t>Midpoint (NASA)</t>
  </si>
  <si>
    <t>Projection</t>
  </si>
  <si>
    <t>Projection_Diff</t>
  </si>
  <si>
    <t>yr</t>
  </si>
  <si>
    <t>Target</t>
  </si>
  <si>
    <t>Target_Diff</t>
  </si>
  <si>
    <t>Fraction</t>
  </si>
  <si>
    <t>m</t>
  </si>
  <si>
    <t>cm</t>
  </si>
  <si>
    <t>Baseline (DMI)</t>
  </si>
  <si>
    <t>1981-2010</t>
  </si>
  <si>
    <t>Midpoint (DMI)</t>
  </si>
  <si>
    <t>Rate</t>
  </si>
  <si>
    <t>m/yr</t>
  </si>
  <si>
    <t>Diff_Baselines</t>
  </si>
  <si>
    <t>SL_change</t>
  </si>
  <si>
    <t>SeaLevelLateCentury(SSP2-4.5)</t>
  </si>
  <si>
    <t>SeaLevelLateCentury(SSP5-8,5)</t>
  </si>
  <si>
    <t>SeaLevelLateCentury_new_reference</t>
  </si>
  <si>
    <t>Sea Level Projection Tool – NASA Sea Level Change Portal</t>
  </si>
  <si>
    <t>FYNSHAV (2030 PROJECTION)</t>
  </si>
  <si>
    <t>SSP4.5</t>
  </si>
  <si>
    <t>PROJECTED SEA LEVEL RISE (m)</t>
  </si>
  <si>
    <t>17th percentile</t>
  </si>
  <si>
    <t>Median</t>
  </si>
  <si>
    <t>83rd percentile</t>
  </si>
  <si>
    <t>Sterodynamic Sea Level</t>
  </si>
  <si>
    <t>Glaciers</t>
  </si>
  <si>
    <t>Greenland</t>
  </si>
  <si>
    <t>Antarctica</t>
  </si>
  <si>
    <t>Land Water Storage</t>
  </si>
  <si>
    <t>Vertical Land Motion</t>
  </si>
  <si>
    <t>SLR50_tot</t>
  </si>
  <si>
    <t>SSP8.5</t>
  </si>
  <si>
    <t>Indicator (i)</t>
  </si>
  <si>
    <t>Sea_Level_change_new_baseline</t>
  </si>
  <si>
    <t>GEDSER (2030 PROJECTION)</t>
  </si>
  <si>
    <t>Gedser (SSP2-4.5)</t>
  </si>
  <si>
    <t>SeaLevelLateCentury_DMI_reference</t>
  </si>
  <si>
    <t>Hesnæs (SSP2-4.5)</t>
  </si>
  <si>
    <t>Hesnæs (SSP5-8,5)</t>
  </si>
  <si>
    <t>SKANOR (2030 PROJECTION)</t>
  </si>
  <si>
    <t>Præstø (SSP2-4.5)</t>
  </si>
  <si>
    <t>Præstø (SSP5-8,5)</t>
  </si>
  <si>
    <t>WARNEMUNDE 2 (2030 PROJECTION)</t>
  </si>
  <si>
    <t>brugte skanor til præstø, da der ikke er en Permanent Service for Mean Sea Level (PSMSL) station i Præstø</t>
  </si>
  <si>
    <t>brugte Warnemunde 2 til Hesnæs, da der ikke er PSMSL station i Hesnæs</t>
  </si>
  <si>
    <t>link til tool</t>
  </si>
  <si>
    <t>Permanent Service for Mean Sea Level (PSMSL)</t>
  </si>
  <si>
    <t>IPCC AR6 Sea Level Projections</t>
  </si>
  <si>
    <t>Garner et al 2021</t>
  </si>
  <si>
    <t>Vandstand_ift_NASA_baseline</t>
  </si>
  <si>
    <t>"To provide projections relative to year 1995 (center of the 1981-2010 period), as in the previous versions of Klimaatlas, we shift all time series by assuming the change before the IPCC reference period is linear."</t>
  </si>
  <si>
    <t>*Microsoft Word - Klimaatlas_L3_report_v2024b.docx</t>
  </si>
  <si>
    <t>Midpoint (NASA), x</t>
  </si>
  <si>
    <t>Projection, y</t>
  </si>
  <si>
    <t>Target, t</t>
  </si>
  <si>
    <t>Target_Diff, deltayt</t>
  </si>
  <si>
    <t>Projection_Diff, deltaxt</t>
  </si>
  <si>
    <t>Vandstand_ift_NASA_baseline, z</t>
  </si>
  <si>
    <t>Midpoint (DMI), d</t>
  </si>
  <si>
    <t>Rate, q</t>
  </si>
  <si>
    <t>Diff_Baselines, deltad</t>
  </si>
  <si>
    <t>SL_change, qs</t>
  </si>
  <si>
    <t>Sea_Level_change_new_baseline, qsd</t>
  </si>
  <si>
    <t>SeaLevelLateCentury(SSP2-4.5), p</t>
  </si>
  <si>
    <t>SeaLevelLateCentury_DMI_reference, I</t>
  </si>
  <si>
    <t>Fraction (deltayt / deltaxt)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</si>
</sst>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0"/>
    <numFmt numFmtId="167" formatCode="_-[$€-2]* #,##0.00_-;\-[$€-2]* #,##0.00_-;_-[$€-2]* &quot;-&quot;??_-"/>
  </numFmts>
  <fonts count="16" x14ac:knownFonts="1">
    <font>
      <sz val="11"/>
      <color theme="1"/>
      <name val="Cambria"/>
      <family val="2"/>
    </font>
    <font>
      <b/>
      <sz val="11"/>
      <color theme="1"/>
      <name val="Cambria"/>
      <family val="2"/>
    </font>
    <font>
      <u/>
      <sz val="11"/>
      <color theme="10"/>
      <name val="Cambri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entury Gothic"/>
      <family val="2"/>
      <scheme val="major"/>
    </font>
    <font>
      <sz val="11"/>
      <color theme="1"/>
      <name val="Century Gothic"/>
      <family val="2"/>
      <scheme val="major"/>
    </font>
    <font>
      <b/>
      <sz val="11"/>
      <color theme="1"/>
      <name val="Century Gothic"/>
      <family val="2"/>
      <scheme val="major"/>
    </font>
    <font>
      <i/>
      <u/>
      <sz val="11"/>
      <color theme="1"/>
      <name val="Century Gothic"/>
      <family val="2"/>
      <scheme val="major"/>
    </font>
    <font>
      <b/>
      <sz val="12"/>
      <color theme="1"/>
      <name val="Century Gothic"/>
      <family val="2"/>
      <scheme val="major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2"/>
      <color theme="1"/>
      <name val="Century Gothic"/>
      <family val="2"/>
      <scheme val="major"/>
    </font>
    <font>
      <u/>
      <sz val="11"/>
      <color theme="2" tint="-0.499984740745262"/>
      <name val="Cambria"/>
      <family val="2"/>
    </font>
    <font>
      <sz val="11"/>
      <color rgb="FF141413"/>
      <name val="Segoe UI"/>
      <family val="2"/>
    </font>
    <font>
      <sz val="11"/>
      <color theme="1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15" fillId="2" borderId="0" applyNumberFormat="0" applyBorder="0" applyAlignment="0" applyProtection="0"/>
    <xf numFmtId="167" fontId="15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0" fontId="7" fillId="0" borderId="0" xfId="1" applyFont="1" applyFill="1" applyBorder="1"/>
    <xf numFmtId="0" fontId="8" fillId="0" borderId="0" xfId="0" applyFont="1"/>
    <xf numFmtId="0" fontId="7" fillId="0" borderId="0" xfId="0" applyFont="1"/>
    <xf numFmtId="2" fontId="7" fillId="0" borderId="0" xfId="0" applyNumberFormat="1" applyFont="1"/>
    <xf numFmtId="166" fontId="0" fillId="0" borderId="0" xfId="0" applyNumberFormat="1"/>
    <xf numFmtId="0" fontId="2" fillId="0" borderId="0" xfId="2"/>
    <xf numFmtId="0" fontId="13" fillId="0" borderId="0" xfId="2" applyFont="1"/>
    <xf numFmtId="0" fontId="5" fillId="0" borderId="2" xfId="0" applyFont="1" applyBorder="1"/>
    <xf numFmtId="0" fontId="6" fillId="0" borderId="3" xfId="0" applyFont="1" applyBorder="1"/>
    <xf numFmtId="0" fontId="5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Alignment="1">
      <alignment horizontal="center"/>
    </xf>
    <xf numFmtId="1" fontId="6" fillId="0" borderId="0" xfId="0" applyNumberFormat="1" applyFont="1"/>
    <xf numFmtId="0" fontId="6" fillId="0" borderId="6" xfId="0" applyFont="1" applyBorder="1"/>
    <xf numFmtId="164" fontId="6" fillId="0" borderId="0" xfId="0" applyNumberFormat="1" applyFont="1"/>
    <xf numFmtId="1" fontId="6" fillId="0" borderId="5" xfId="0" applyNumberFormat="1" applyFont="1" applyBorder="1"/>
    <xf numFmtId="1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9" fillId="0" borderId="7" xfId="1" applyFont="1" applyBorder="1"/>
    <xf numFmtId="2" fontId="9" fillId="0" borderId="1" xfId="1" applyNumberFormat="1" applyFont="1"/>
    <xf numFmtId="0" fontId="9" fillId="0" borderId="1" xfId="1" applyFont="1"/>
    <xf numFmtId="0" fontId="9" fillId="0" borderId="8" xfId="1" applyFont="1" applyBorder="1"/>
    <xf numFmtId="0" fontId="9" fillId="0" borderId="9" xfId="1" applyFont="1" applyBorder="1"/>
    <xf numFmtId="2" fontId="9" fillId="0" borderId="10" xfId="1" applyNumberFormat="1" applyFont="1" applyBorder="1"/>
    <xf numFmtId="0" fontId="9" fillId="0" borderId="10" xfId="1" applyFont="1" applyBorder="1"/>
    <xf numFmtId="0" fontId="9" fillId="0" borderId="11" xfId="1" applyFont="1" applyBorder="1"/>
    <xf numFmtId="0" fontId="0" fillId="0" borderId="3" xfId="0" applyBorder="1"/>
    <xf numFmtId="1" fontId="6" fillId="0" borderId="6" xfId="0" applyNumberFormat="1" applyFont="1" applyBorder="1"/>
    <xf numFmtId="0" fontId="10" fillId="0" borderId="1" xfId="1" applyFont="1"/>
    <xf numFmtId="0" fontId="11" fillId="0" borderId="0" xfId="0" applyFont="1"/>
    <xf numFmtId="0" fontId="11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0" xfId="0" applyFont="1"/>
    <xf numFmtId="0" fontId="14" fillId="0" borderId="0" xfId="0" applyFont="1"/>
    <xf numFmtId="0" fontId="15" fillId="2" borderId="5" xfId="3" applyBorder="1"/>
    <xf numFmtId="0" fontId="15" fillId="2" borderId="0" xfId="3"/>
    <xf numFmtId="167" fontId="6" fillId="0" borderId="0" xfId="4" applyFont="1"/>
    <xf numFmtId="0" fontId="0" fillId="0" borderId="0" xfId="0" applyAlignment="1">
      <alignment horizontal="center"/>
    </xf>
  </cellXfs>
  <cellStyles count="5">
    <cellStyle name="20% - Accent1" xfId="3" builtinId="30"/>
    <cellStyle name="Euro" xfId="4" xr:uid="{A32992E7-5CB8-4837-82E3-830707BC96EC}"/>
    <cellStyle name="Hyperlink" xfId="2" builtinId="8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10</xdr:row>
      <xdr:rowOff>21998</xdr:rowOff>
    </xdr:from>
    <xdr:to>
      <xdr:col>10</xdr:col>
      <xdr:colOff>609600</xdr:colOff>
      <xdr:row>39</xdr:row>
      <xdr:rowOff>48848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CC5B5-4E53-10F1-5E32-6E8600EE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831748"/>
          <a:ext cx="6924675" cy="5275125"/>
        </a:xfrm>
        <a:prstGeom prst="rect">
          <a:avLst/>
        </a:prstGeom>
      </xdr:spPr>
    </xdr:pic>
    <xdr:clientData/>
  </xdr:twoCellAnchor>
  <xdr:twoCellAnchor>
    <xdr:from>
      <xdr:col>7</xdr:col>
      <xdr:colOff>161925</xdr:colOff>
      <xdr:row>29</xdr:row>
      <xdr:rowOff>38100</xdr:rowOff>
    </xdr:from>
    <xdr:to>
      <xdr:col>7</xdr:col>
      <xdr:colOff>295275</xdr:colOff>
      <xdr:row>32</xdr:row>
      <xdr:rowOff>28575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4E30CAB-B720-84EF-1467-7AFDA0CBDE12}"/>
            </a:ext>
          </a:extLst>
        </xdr:cNvPr>
        <xdr:cNvCxnSpPr/>
      </xdr:nvCxnSpPr>
      <xdr:spPr>
        <a:xfrm flipH="1">
          <a:off x="4962525" y="5286375"/>
          <a:ext cx="133350" cy="5334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10</xdr:row>
      <xdr:rowOff>20529</xdr:rowOff>
    </xdr:from>
    <xdr:to>
      <xdr:col>23</xdr:col>
      <xdr:colOff>610028</xdr:colOff>
      <xdr:row>39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0F1B93-7023-14A3-E8FF-6BB4D080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1830279"/>
          <a:ext cx="8153828" cy="5303946"/>
        </a:xfrm>
        <a:prstGeom prst="rect">
          <a:avLst/>
        </a:prstGeom>
      </xdr:spPr>
    </xdr:pic>
    <xdr:clientData/>
  </xdr:twoCellAnchor>
  <xdr:twoCellAnchor>
    <xdr:from>
      <xdr:col>20</xdr:col>
      <xdr:colOff>19050</xdr:colOff>
      <xdr:row>27</xdr:row>
      <xdr:rowOff>20529</xdr:rowOff>
    </xdr:from>
    <xdr:to>
      <xdr:col>20</xdr:col>
      <xdr:colOff>619125</xdr:colOff>
      <xdr:row>28</xdr:row>
      <xdr:rowOff>142875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FE025D1-CA12-4AA8-9DF4-FC500AD3CBCE}"/>
            </a:ext>
          </a:extLst>
        </xdr:cNvPr>
        <xdr:cNvCxnSpPr/>
      </xdr:nvCxnSpPr>
      <xdr:spPr>
        <a:xfrm flipH="1">
          <a:off x="13735050" y="4906854"/>
          <a:ext cx="600075" cy="30332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679829</xdr:colOff>
      <xdr:row>32</xdr:row>
      <xdr:rowOff>149087</xdr:rowOff>
    </xdr:from>
    <xdr:to>
      <xdr:col>23</xdr:col>
      <xdr:colOff>489734</xdr:colOff>
      <xdr:row>61</xdr:row>
      <xdr:rowOff>66737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3CE2A-96DD-4F72-9AC2-2F67638FB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5404" y="6664187"/>
          <a:ext cx="4610505" cy="5737425"/>
        </a:xfrm>
        <a:prstGeom prst="rect">
          <a:avLst/>
        </a:prstGeom>
      </xdr:spPr>
    </xdr:pic>
    <xdr:clientData/>
  </xdr:twoCellAnchor>
  <xdr:twoCellAnchor editAs="oneCell">
    <xdr:from>
      <xdr:col>5</xdr:col>
      <xdr:colOff>1215473</xdr:colOff>
      <xdr:row>46</xdr:row>
      <xdr:rowOff>20292</xdr:rowOff>
    </xdr:from>
    <xdr:to>
      <xdr:col>5</xdr:col>
      <xdr:colOff>2444369</xdr:colOff>
      <xdr:row>48</xdr:row>
      <xdr:rowOff>25319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CFDEF4-7049-4AD5-BC45-5AF59BA6A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1773" y="9678642"/>
          <a:ext cx="1228896" cy="424127"/>
        </a:xfrm>
        <a:prstGeom prst="rect">
          <a:avLst/>
        </a:prstGeom>
      </xdr:spPr>
    </xdr:pic>
    <xdr:clientData/>
  </xdr:twoCellAnchor>
  <xdr:twoCellAnchor>
    <xdr:from>
      <xdr:col>5</xdr:col>
      <xdr:colOff>1819274</xdr:colOff>
      <xdr:row>41</xdr:row>
      <xdr:rowOff>200026</xdr:rowOff>
    </xdr:from>
    <xdr:to>
      <xdr:col>5</xdr:col>
      <xdr:colOff>2676525</xdr:colOff>
      <xdr:row>46</xdr:row>
      <xdr:rowOff>9527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5FF7FA3A-C2AC-4C7F-9723-3D3A15A35DE7}"/>
            </a:ext>
          </a:extLst>
        </xdr:cNvPr>
        <xdr:cNvCxnSpPr/>
      </xdr:nvCxnSpPr>
      <xdr:spPr>
        <a:xfrm rot="5400000" flipH="1" flipV="1">
          <a:off x="10315574" y="8810626"/>
          <a:ext cx="857251" cy="85725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smsl.org/" TargetMode="External"/><Relationship Id="rId2" Type="http://schemas.openxmlformats.org/officeDocument/2006/relationships/hyperlink" Target="https://psmsl.org/" TargetMode="External"/><Relationship Id="rId1" Type="http://schemas.openxmlformats.org/officeDocument/2006/relationships/hyperlink" Target="https://sealevel.nasa.gov/ipcc-ar6-sea-level-projection-too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dmi.dk/fileadmin/Rapporter/2024/DMI_rapport_24_12.pdf" TargetMode="External"/><Relationship Id="rId1" Type="http://schemas.openxmlformats.org/officeDocument/2006/relationships/hyperlink" Target="https://zenodo.org/records/6382554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dmi.dk/fileadmin/Rapporter/2024/DMI_rapport_24_12.pdf" TargetMode="External"/><Relationship Id="rId1" Type="http://schemas.openxmlformats.org/officeDocument/2006/relationships/hyperlink" Target="https://zenodo.org/records/6382554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www.dmi.dk/fileadmin/Rapporter/2024/DMI_rapport_24_12.pdf" TargetMode="External"/><Relationship Id="rId1" Type="http://schemas.openxmlformats.org/officeDocument/2006/relationships/hyperlink" Target="https://zenodo.org/records/6382554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https://www.dmi.dk/fileadmin/Rapporter/2024/DMI_rapport_24_12.pdf" TargetMode="External"/><Relationship Id="rId1" Type="http://schemas.openxmlformats.org/officeDocument/2006/relationships/hyperlink" Target="https://zenodo.org/records/6382554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8842-F5C7-474A-8C29-577F900B2836}">
  <dimension ref="B1:W10"/>
  <sheetViews>
    <sheetView zoomScale="70" workbookViewId="0">
      <selection activeCell="J8" sqref="J8"/>
    </sheetView>
  </sheetViews>
  <sheetFormatPr defaultRowHeight="14.25" x14ac:dyDescent="0.2"/>
  <sheetData>
    <row r="1" spans="2:23" x14ac:dyDescent="0.2">
      <c r="B1" t="s">
        <v>52</v>
      </c>
    </row>
    <row r="2" spans="2:23" x14ac:dyDescent="0.2">
      <c r="B2" s="10" t="s">
        <v>24</v>
      </c>
    </row>
    <row r="10" spans="2:23" x14ac:dyDescent="0.2">
      <c r="B10" s="45" t="s">
        <v>51</v>
      </c>
      <c r="C10" s="45"/>
      <c r="D10" s="45"/>
      <c r="E10" s="45"/>
      <c r="F10" s="45"/>
      <c r="G10" s="45"/>
      <c r="H10" s="45"/>
      <c r="I10" s="10" t="s">
        <v>53</v>
      </c>
      <c r="M10" s="45" t="s">
        <v>50</v>
      </c>
      <c r="N10" s="45"/>
      <c r="O10" s="45"/>
      <c r="P10" s="45"/>
      <c r="Q10" s="45"/>
      <c r="R10" s="45"/>
      <c r="S10" s="45"/>
      <c r="T10" s="45"/>
      <c r="U10" s="45"/>
      <c r="V10" s="45"/>
      <c r="W10" s="10" t="s">
        <v>53</v>
      </c>
    </row>
  </sheetData>
  <mergeCells count="2">
    <mergeCell ref="B10:H10"/>
    <mergeCell ref="M10:V10"/>
  </mergeCells>
  <hyperlinks>
    <hyperlink ref="B2" r:id="rId1" display="https://sealevel.nasa.gov/ipcc-ar6-sea-level-projection-tool" xr:uid="{D5D75AC0-928A-4EC6-8760-C5B7CD9D2C0C}"/>
    <hyperlink ref="I10" r:id="rId2" display="https://psmsl.org/" xr:uid="{A27704F9-17E6-4860-90AF-341DE4BB2826}"/>
    <hyperlink ref="W10" r:id="rId3" display="https://psmsl.org/" xr:uid="{C50CEF6E-1D2E-4351-B2F4-7A5394D3B37F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7C8B-9CBC-4C07-9921-3575AD5448FB}">
  <dimension ref="B2:L42"/>
  <sheetViews>
    <sheetView zoomScale="80" zoomScaleNormal="80" workbookViewId="0">
      <selection activeCell="J35" sqref="J35"/>
    </sheetView>
  </sheetViews>
  <sheetFormatPr defaultColWidth="9" defaultRowHeight="16.5" x14ac:dyDescent="0.3"/>
  <cols>
    <col min="1" max="1" width="9" style="2"/>
    <col min="2" max="2" width="16.5" style="2" bestFit="1" customWidth="1"/>
    <col min="3" max="3" width="36.625" style="2" bestFit="1" customWidth="1"/>
    <col min="4" max="4" width="26.25" style="2" customWidth="1"/>
    <col min="5" max="5" width="23.125" style="2" bestFit="1" customWidth="1"/>
    <col min="6" max="6" width="37.375" style="2" bestFit="1" customWidth="1"/>
    <col min="7" max="7" width="14.75" style="2" bestFit="1" customWidth="1"/>
    <col min="8" max="8" width="12.25" style="2" bestFit="1" customWidth="1"/>
    <col min="9" max="16384" width="9" style="2"/>
  </cols>
  <sheetData>
    <row r="2" spans="3:12" x14ac:dyDescent="0.3">
      <c r="C2" s="11" t="s">
        <v>0</v>
      </c>
      <c r="D2" s="12"/>
      <c r="E2" s="12" t="s">
        <v>1</v>
      </c>
      <c r="F2" s="13" t="s">
        <v>2</v>
      </c>
      <c r="G2" s="12"/>
      <c r="H2" s="14"/>
    </row>
    <row r="3" spans="3:12" x14ac:dyDescent="0.3">
      <c r="C3" s="15" t="s">
        <v>3</v>
      </c>
      <c r="D3" s="16" t="s">
        <v>4</v>
      </c>
      <c r="E3" s="17"/>
      <c r="F3" s="2" t="s">
        <v>3</v>
      </c>
      <c r="G3" s="16" t="s">
        <v>4</v>
      </c>
      <c r="H3" s="18"/>
    </row>
    <row r="4" spans="3:12" x14ac:dyDescent="0.3">
      <c r="C4" s="15" t="s">
        <v>59</v>
      </c>
      <c r="D4" s="43">
        <f>ROUNDUP(MEDIAN(2014,1995),0)</f>
        <v>2005</v>
      </c>
      <c r="E4" s="17"/>
      <c r="F4" s="2" t="s">
        <v>5</v>
      </c>
      <c r="G4" s="2">
        <f>ROUNDUP(MEDIAN(2014,1995),0)</f>
        <v>2005</v>
      </c>
      <c r="H4" s="18"/>
    </row>
    <row r="5" spans="3:12" x14ac:dyDescent="0.3">
      <c r="C5" s="15" t="s">
        <v>60</v>
      </c>
      <c r="D5" s="43">
        <v>2030</v>
      </c>
      <c r="F5" s="2" t="s">
        <v>6</v>
      </c>
      <c r="G5" s="2">
        <v>2030</v>
      </c>
      <c r="H5" s="18"/>
      <c r="L5" s="44"/>
    </row>
    <row r="6" spans="3:12" x14ac:dyDescent="0.3">
      <c r="C6" s="15" t="s">
        <v>63</v>
      </c>
      <c r="D6" s="43">
        <f>D5-D4</f>
        <v>25</v>
      </c>
      <c r="E6" s="2" t="s">
        <v>8</v>
      </c>
      <c r="F6" s="2" t="s">
        <v>7</v>
      </c>
      <c r="G6" s="2">
        <f>G5-G4</f>
        <v>25</v>
      </c>
      <c r="H6" s="18" t="s">
        <v>8</v>
      </c>
    </row>
    <row r="7" spans="3:12" x14ac:dyDescent="0.3">
      <c r="C7" s="15" t="s">
        <v>61</v>
      </c>
      <c r="D7" s="43">
        <v>2023</v>
      </c>
      <c r="F7" s="2" t="s">
        <v>9</v>
      </c>
      <c r="G7" s="2">
        <v>2023</v>
      </c>
      <c r="H7" s="18"/>
    </row>
    <row r="8" spans="3:12" x14ac:dyDescent="0.3">
      <c r="C8" s="15" t="s">
        <v>62</v>
      </c>
      <c r="D8" s="43">
        <f>D7-D4</f>
        <v>18</v>
      </c>
      <c r="E8" s="2" t="s">
        <v>8</v>
      </c>
      <c r="F8" s="2" t="s">
        <v>10</v>
      </c>
      <c r="G8" s="2">
        <f>G7-G4</f>
        <v>18</v>
      </c>
      <c r="H8" s="18" t="s">
        <v>8</v>
      </c>
    </row>
    <row r="9" spans="3:12" x14ac:dyDescent="0.3">
      <c r="C9" s="42" t="s">
        <v>72</v>
      </c>
      <c r="D9" s="43">
        <f>D8/D6</f>
        <v>0.72</v>
      </c>
      <c r="F9" s="2" t="s">
        <v>11</v>
      </c>
      <c r="G9" s="2">
        <f>G8/G6</f>
        <v>0.72</v>
      </c>
      <c r="H9" s="18"/>
      <c r="I9" s="3"/>
    </row>
    <row r="10" spans="3:12" x14ac:dyDescent="0.3">
      <c r="C10" s="15" t="s">
        <v>64</v>
      </c>
      <c r="D10" s="19">
        <f>D9*F32</f>
        <v>8.6399999999999991E-2</v>
      </c>
      <c r="E10" s="2" t="s">
        <v>12</v>
      </c>
      <c r="F10" s="2" t="s">
        <v>56</v>
      </c>
      <c r="G10" s="19">
        <f>G9*F42</f>
        <v>8.6399999999999991E-2</v>
      </c>
      <c r="H10" s="18" t="s">
        <v>12</v>
      </c>
    </row>
    <row r="11" spans="3:12" x14ac:dyDescent="0.3">
      <c r="C11" s="15"/>
      <c r="D11" s="3">
        <f>CONVERT(D10,"m","cm")</f>
        <v>8.6399999999999988</v>
      </c>
      <c r="E11" s="2" t="s">
        <v>13</v>
      </c>
      <c r="G11" s="3">
        <f>CONVERT(G10,"m","cm")</f>
        <v>8.6399999999999988</v>
      </c>
      <c r="H11" s="18" t="s">
        <v>13</v>
      </c>
    </row>
    <row r="12" spans="3:12" x14ac:dyDescent="0.3">
      <c r="C12" s="20" t="s">
        <v>14</v>
      </c>
      <c r="D12" s="21" t="s">
        <v>15</v>
      </c>
      <c r="F12" s="17" t="s">
        <v>14</v>
      </c>
      <c r="G12" s="21" t="s">
        <v>15</v>
      </c>
      <c r="H12" s="18"/>
    </row>
    <row r="13" spans="3:12" x14ac:dyDescent="0.3">
      <c r="C13" s="20" t="s">
        <v>65</v>
      </c>
      <c r="D13" s="17">
        <f>ROUNDDOWN(MEDIAN(2010,1981),0)</f>
        <v>1995</v>
      </c>
      <c r="F13" s="17" t="s">
        <v>16</v>
      </c>
      <c r="G13" s="17">
        <f>ROUNDDOWN(MEDIAN(2010,1981),0)</f>
        <v>1995</v>
      </c>
      <c r="H13" s="18"/>
    </row>
    <row r="14" spans="3:12" x14ac:dyDescent="0.3">
      <c r="C14" s="15" t="s">
        <v>66</v>
      </c>
      <c r="D14" s="19">
        <f>F32/D6</f>
        <v>4.7999999999999996E-3</v>
      </c>
      <c r="E14" s="2" t="s">
        <v>18</v>
      </c>
      <c r="F14" s="2" t="s">
        <v>17</v>
      </c>
      <c r="G14" s="19">
        <f>F42/G6</f>
        <v>4.7999999999999996E-3</v>
      </c>
      <c r="H14" s="18" t="s">
        <v>18</v>
      </c>
      <c r="K14" s="9" t="s">
        <v>58</v>
      </c>
    </row>
    <row r="15" spans="3:12" x14ac:dyDescent="0.3">
      <c r="C15" s="15" t="s">
        <v>67</v>
      </c>
      <c r="D15" s="17">
        <f>D4-D13</f>
        <v>10</v>
      </c>
      <c r="E15" s="2" t="s">
        <v>8</v>
      </c>
      <c r="F15" s="2" t="s">
        <v>19</v>
      </c>
      <c r="G15" s="17">
        <f>G4-G13</f>
        <v>10</v>
      </c>
      <c r="H15" s="18" t="s">
        <v>8</v>
      </c>
      <c r="K15" s="41" t="s">
        <v>57</v>
      </c>
    </row>
    <row r="16" spans="3:12" x14ac:dyDescent="0.3">
      <c r="C16" s="15" t="s">
        <v>68</v>
      </c>
      <c r="D16" s="22">
        <f>D15*D14</f>
        <v>4.7999999999999994E-2</v>
      </c>
      <c r="E16" s="2" t="s">
        <v>12</v>
      </c>
      <c r="F16" s="2" t="s">
        <v>20</v>
      </c>
      <c r="G16" s="22">
        <f>G15*G14</f>
        <v>4.7999999999999994E-2</v>
      </c>
      <c r="H16" s="18" t="s">
        <v>12</v>
      </c>
    </row>
    <row r="17" spans="2:10" x14ac:dyDescent="0.3">
      <c r="C17" s="15" t="s">
        <v>69</v>
      </c>
      <c r="D17" s="19">
        <f>D16+D10</f>
        <v>0.13439999999999999</v>
      </c>
      <c r="E17" s="2" t="s">
        <v>12</v>
      </c>
      <c r="F17" s="2" t="s">
        <v>40</v>
      </c>
      <c r="G17" s="19">
        <f>G16+G10</f>
        <v>0.13439999999999999</v>
      </c>
      <c r="H17" s="18" t="s">
        <v>12</v>
      </c>
    </row>
    <row r="18" spans="2:10" x14ac:dyDescent="0.3">
      <c r="C18" s="15"/>
      <c r="D18" s="3">
        <f>CONVERT(D17,"m","cm")</f>
        <v>13.44</v>
      </c>
      <c r="E18" s="2" t="s">
        <v>13</v>
      </c>
      <c r="G18" s="3">
        <f>CONVERT(G17,"m","cm")</f>
        <v>13.44</v>
      </c>
      <c r="H18" s="18" t="s">
        <v>13</v>
      </c>
    </row>
    <row r="19" spans="2:10" x14ac:dyDescent="0.3">
      <c r="C19" s="15" t="s">
        <v>70</v>
      </c>
      <c r="D19" s="3">
        <v>47.96</v>
      </c>
      <c r="E19" s="2" t="s">
        <v>13</v>
      </c>
      <c r="F19" s="2" t="s">
        <v>22</v>
      </c>
      <c r="G19" s="3">
        <v>65.150000112056702</v>
      </c>
      <c r="H19" s="18" t="s">
        <v>13</v>
      </c>
    </row>
    <row r="20" spans="2:10" ht="17.25" thickBot="1" x14ac:dyDescent="0.35">
      <c r="C20" s="23" t="s">
        <v>71</v>
      </c>
      <c r="D20" s="24">
        <f>D19-D18</f>
        <v>34.520000000000003</v>
      </c>
      <c r="E20" s="25" t="s">
        <v>13</v>
      </c>
      <c r="F20" s="25" t="s">
        <v>23</v>
      </c>
      <c r="G20" s="24">
        <f>G19-G18</f>
        <v>51.710000112056704</v>
      </c>
      <c r="H20" s="26" t="s">
        <v>13</v>
      </c>
      <c r="J20" s="4"/>
    </row>
    <row r="21" spans="2:10" ht="17.25" thickTop="1" x14ac:dyDescent="0.3">
      <c r="C21" s="27"/>
      <c r="D21" s="28">
        <f>ROUND(D20,0)</f>
        <v>35</v>
      </c>
      <c r="E21" s="29" t="s">
        <v>13</v>
      </c>
      <c r="F21" s="29"/>
      <c r="G21" s="28">
        <f>ROUND(G20,0)</f>
        <v>52</v>
      </c>
      <c r="H21" s="30" t="s">
        <v>13</v>
      </c>
      <c r="J21" s="4"/>
    </row>
    <row r="22" spans="2:10" x14ac:dyDescent="0.3">
      <c r="D22" s="3">
        <f>216+D21</f>
        <v>251</v>
      </c>
      <c r="G22" s="3">
        <f>216+G21</f>
        <v>268</v>
      </c>
    </row>
    <row r="23" spans="2:10" x14ac:dyDescent="0.3">
      <c r="B23" s="2" t="s">
        <v>55</v>
      </c>
      <c r="C23" s="10" t="s">
        <v>54</v>
      </c>
    </row>
    <row r="24" spans="2:10" x14ac:dyDescent="0.3">
      <c r="C24" s="2" t="s">
        <v>25</v>
      </c>
      <c r="D24" s="5" t="s">
        <v>26</v>
      </c>
    </row>
    <row r="25" spans="2:10" x14ac:dyDescent="0.3">
      <c r="C25" s="2" t="s">
        <v>27</v>
      </c>
      <c r="D25" s="1" t="s">
        <v>39</v>
      </c>
      <c r="E25" s="1" t="s">
        <v>28</v>
      </c>
      <c r="F25" s="1" t="s">
        <v>29</v>
      </c>
      <c r="G25" s="1" t="s">
        <v>30</v>
      </c>
    </row>
    <row r="26" spans="2:10" x14ac:dyDescent="0.3">
      <c r="D26" s="2" t="s">
        <v>31</v>
      </c>
      <c r="E26" s="3">
        <v>0.04</v>
      </c>
      <c r="F26" s="3">
        <v>0.09</v>
      </c>
      <c r="G26" s="2">
        <v>0.15</v>
      </c>
    </row>
    <row r="27" spans="2:10" x14ac:dyDescent="0.3">
      <c r="D27" s="2" t="s">
        <v>32</v>
      </c>
      <c r="E27" s="3">
        <v>0.01</v>
      </c>
      <c r="F27" s="3">
        <v>0.01</v>
      </c>
      <c r="G27" s="2">
        <v>0.02</v>
      </c>
    </row>
    <row r="28" spans="2:10" x14ac:dyDescent="0.3">
      <c r="D28" s="2" t="s">
        <v>33</v>
      </c>
      <c r="E28" s="3">
        <v>0</v>
      </c>
      <c r="F28" s="3">
        <v>0</v>
      </c>
      <c r="G28" s="3">
        <v>0</v>
      </c>
    </row>
    <row r="29" spans="2:10" x14ac:dyDescent="0.3">
      <c r="D29" s="2" t="s">
        <v>34</v>
      </c>
      <c r="E29" s="3">
        <v>0.01</v>
      </c>
      <c r="F29" s="3">
        <v>0.02</v>
      </c>
      <c r="G29" s="2">
        <v>0.04</v>
      </c>
    </row>
    <row r="30" spans="2:10" x14ac:dyDescent="0.3">
      <c r="D30" s="2" t="s">
        <v>35</v>
      </c>
      <c r="E30" s="3">
        <v>0</v>
      </c>
      <c r="F30" s="3">
        <v>0</v>
      </c>
      <c r="G30" s="3">
        <v>0</v>
      </c>
    </row>
    <row r="31" spans="2:10" x14ac:dyDescent="0.3">
      <c r="D31" s="2" t="s">
        <v>36</v>
      </c>
      <c r="E31" s="3">
        <v>-0.01</v>
      </c>
      <c r="F31" s="3">
        <v>-0.01</v>
      </c>
      <c r="G31" s="3">
        <v>0</v>
      </c>
    </row>
    <row r="32" spans="2:10" x14ac:dyDescent="0.3">
      <c r="D32" s="6" t="s">
        <v>37</v>
      </c>
      <c r="E32" s="7">
        <v>0.06</v>
      </c>
      <c r="F32" s="7">
        <v>0.12</v>
      </c>
      <c r="G32" s="7">
        <v>0.18</v>
      </c>
    </row>
    <row r="34" spans="3:7" x14ac:dyDescent="0.3">
      <c r="C34" s="2" t="s">
        <v>25</v>
      </c>
      <c r="D34" s="5" t="s">
        <v>38</v>
      </c>
    </row>
    <row r="35" spans="3:7" x14ac:dyDescent="0.3">
      <c r="C35" s="2" t="s">
        <v>27</v>
      </c>
      <c r="D35" s="1" t="s">
        <v>39</v>
      </c>
      <c r="E35" s="1" t="s">
        <v>28</v>
      </c>
      <c r="F35" s="1" t="s">
        <v>29</v>
      </c>
      <c r="G35" s="1" t="s">
        <v>30</v>
      </c>
    </row>
    <row r="36" spans="3:7" x14ac:dyDescent="0.3">
      <c r="D36" s="2" t="s">
        <v>31</v>
      </c>
      <c r="E36" s="3">
        <v>0.04</v>
      </c>
      <c r="F36" s="3">
        <v>0.09</v>
      </c>
      <c r="G36" s="3">
        <v>0.14000000000000001</v>
      </c>
    </row>
    <row r="37" spans="3:7" x14ac:dyDescent="0.3">
      <c r="D37" s="2" t="s">
        <v>32</v>
      </c>
      <c r="E37" s="3">
        <v>0.01</v>
      </c>
      <c r="F37" s="3">
        <v>0.01</v>
      </c>
      <c r="G37" s="3">
        <v>0.02</v>
      </c>
    </row>
    <row r="38" spans="3:7" x14ac:dyDescent="0.3">
      <c r="D38" s="2" t="s">
        <v>33</v>
      </c>
      <c r="E38" s="3">
        <v>0</v>
      </c>
      <c r="F38" s="3">
        <v>0</v>
      </c>
      <c r="G38" s="3">
        <v>0</v>
      </c>
    </row>
    <row r="39" spans="3:7" x14ac:dyDescent="0.3">
      <c r="D39" s="2" t="s">
        <v>34</v>
      </c>
      <c r="E39" s="3">
        <v>0</v>
      </c>
      <c r="F39" s="3">
        <v>0.02</v>
      </c>
      <c r="G39" s="3">
        <v>0.04</v>
      </c>
    </row>
    <row r="40" spans="3:7" x14ac:dyDescent="0.3">
      <c r="D40" s="2" t="s">
        <v>35</v>
      </c>
      <c r="E40" s="3">
        <v>0</v>
      </c>
      <c r="F40" s="3">
        <v>0</v>
      </c>
      <c r="G40" s="3">
        <v>0.01</v>
      </c>
    </row>
    <row r="41" spans="3:7" x14ac:dyDescent="0.3">
      <c r="D41" s="2" t="s">
        <v>36</v>
      </c>
      <c r="E41" s="3">
        <v>-0.01</v>
      </c>
      <c r="F41" s="3">
        <v>0</v>
      </c>
      <c r="G41" s="3">
        <v>0</v>
      </c>
    </row>
    <row r="42" spans="3:7" x14ac:dyDescent="0.3">
      <c r="D42" s="6" t="s">
        <v>37</v>
      </c>
      <c r="E42" s="6">
        <v>7.0000000000000007E-2</v>
      </c>
      <c r="F42" s="7">
        <v>0.12</v>
      </c>
      <c r="G42" s="6">
        <v>0.17</v>
      </c>
    </row>
  </sheetData>
  <hyperlinks>
    <hyperlink ref="C23" r:id="rId1" display="https://zenodo.org/records/6382554" xr:uid="{17A8FB62-D75E-46CD-8810-AAE495A473F8}"/>
    <hyperlink ref="K14" r:id="rId2" display="https://www.dmi.dk/fileadmin/Rapporter/2024/DMI_rapport_24_12.pdf" xr:uid="{A9ECE9D9-CB7F-492D-935A-C638C3941A29}"/>
  </hyperlinks>
  <pageMargins left="0.7" right="0.7" top="0.75" bottom="0.75" header="0.3" footer="0.3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B147-84BB-4C64-8543-3DA9B64185FB}">
  <dimension ref="B3:K43"/>
  <sheetViews>
    <sheetView topLeftCell="B11" workbookViewId="0">
      <selection activeCell="J23" sqref="J23"/>
    </sheetView>
  </sheetViews>
  <sheetFormatPr defaultRowHeight="14.25" x14ac:dyDescent="0.2"/>
  <cols>
    <col min="2" max="2" width="16.5" bestFit="1" customWidth="1"/>
    <col min="3" max="3" width="36.125" bestFit="1" customWidth="1"/>
    <col min="4" max="4" width="23.125" bestFit="1" customWidth="1"/>
    <col min="5" max="5" width="15.625" bestFit="1" customWidth="1"/>
    <col min="6" max="6" width="8.75" bestFit="1" customWidth="1"/>
    <col min="7" max="7" width="35.875" bestFit="1" customWidth="1"/>
    <col min="8" max="8" width="9.5" bestFit="1" customWidth="1"/>
    <col min="9" max="9" width="6.875" bestFit="1" customWidth="1"/>
  </cols>
  <sheetData>
    <row r="3" spans="3:11" ht="16.5" x14ac:dyDescent="0.3">
      <c r="C3" s="11" t="s">
        <v>42</v>
      </c>
      <c r="D3" s="31"/>
      <c r="E3" s="12" t="s">
        <v>1</v>
      </c>
      <c r="F3" s="31"/>
      <c r="G3" s="13" t="s">
        <v>42</v>
      </c>
      <c r="H3" s="31"/>
      <c r="I3" s="14" t="s">
        <v>1</v>
      </c>
    </row>
    <row r="4" spans="3:11" ht="16.5" x14ac:dyDescent="0.3">
      <c r="C4" s="15" t="s">
        <v>3</v>
      </c>
      <c r="D4" t="s">
        <v>4</v>
      </c>
      <c r="E4" s="17"/>
      <c r="G4" s="2" t="s">
        <v>3</v>
      </c>
      <c r="H4" t="s">
        <v>4</v>
      </c>
      <c r="I4" s="32"/>
    </row>
    <row r="5" spans="3:11" ht="16.5" x14ac:dyDescent="0.3">
      <c r="C5" s="15" t="s">
        <v>5</v>
      </c>
      <c r="D5">
        <f>ROUNDUP(MEDIAN(2014,1995),0)</f>
        <v>2005</v>
      </c>
      <c r="E5" s="17"/>
      <c r="G5" s="2" t="s">
        <v>5</v>
      </c>
      <c r="H5">
        <f>ROUNDUP(MEDIAN(2014,1995),0)</f>
        <v>2005</v>
      </c>
      <c r="I5" s="32"/>
    </row>
    <row r="6" spans="3:11" ht="16.5" x14ac:dyDescent="0.3">
      <c r="C6" s="15" t="s">
        <v>6</v>
      </c>
      <c r="D6">
        <v>2030</v>
      </c>
      <c r="E6" s="2"/>
      <c r="G6" s="2" t="s">
        <v>6</v>
      </c>
      <c r="H6">
        <v>2030</v>
      </c>
      <c r="I6" s="18"/>
    </row>
    <row r="7" spans="3:11" ht="16.5" x14ac:dyDescent="0.3">
      <c r="C7" s="15" t="s">
        <v>7</v>
      </c>
      <c r="D7">
        <f>D6-D5</f>
        <v>25</v>
      </c>
      <c r="E7" s="2" t="s">
        <v>8</v>
      </c>
      <c r="G7" s="2" t="s">
        <v>7</v>
      </c>
      <c r="H7">
        <f>H6-H5</f>
        <v>25</v>
      </c>
      <c r="I7" s="18" t="s">
        <v>8</v>
      </c>
    </row>
    <row r="8" spans="3:11" ht="16.5" x14ac:dyDescent="0.3">
      <c r="C8" s="15" t="s">
        <v>9</v>
      </c>
      <c r="D8">
        <v>2023</v>
      </c>
      <c r="E8" s="2"/>
      <c r="G8" s="2" t="s">
        <v>9</v>
      </c>
      <c r="H8">
        <v>2023</v>
      </c>
      <c r="I8" s="18"/>
    </row>
    <row r="9" spans="3:11" ht="16.5" x14ac:dyDescent="0.3">
      <c r="C9" s="15" t="s">
        <v>10</v>
      </c>
      <c r="D9">
        <f>D8-D5</f>
        <v>18</v>
      </c>
      <c r="E9" s="2" t="s">
        <v>8</v>
      </c>
      <c r="G9" s="2" t="s">
        <v>10</v>
      </c>
      <c r="H9">
        <f>H8-H5</f>
        <v>18</v>
      </c>
      <c r="I9" s="18" t="s">
        <v>8</v>
      </c>
    </row>
    <row r="10" spans="3:11" ht="16.5" x14ac:dyDescent="0.3">
      <c r="C10" s="15" t="s">
        <v>11</v>
      </c>
      <c r="D10">
        <f>D9/D7</f>
        <v>0.72</v>
      </c>
      <c r="E10" s="2"/>
      <c r="G10" s="2" t="s">
        <v>11</v>
      </c>
      <c r="H10">
        <f>H9/H7</f>
        <v>0.72</v>
      </c>
      <c r="I10" s="18"/>
    </row>
    <row r="11" spans="3:11" ht="16.5" x14ac:dyDescent="0.3">
      <c r="C11" s="15" t="s">
        <v>56</v>
      </c>
      <c r="D11">
        <f>D10*F33</f>
        <v>0.1008</v>
      </c>
      <c r="E11" s="2" t="s">
        <v>12</v>
      </c>
      <c r="G11" s="2" t="s">
        <v>56</v>
      </c>
      <c r="H11">
        <f>H10*F43</f>
        <v>8.6399999999999991E-2</v>
      </c>
      <c r="I11" s="18" t="s">
        <v>12</v>
      </c>
    </row>
    <row r="12" spans="3:11" ht="16.5" x14ac:dyDescent="0.3">
      <c r="C12" s="15"/>
      <c r="D12">
        <f>CONVERT(D11,"m","cm")</f>
        <v>10.08</v>
      </c>
      <c r="E12" s="2" t="s">
        <v>13</v>
      </c>
      <c r="G12" s="2"/>
      <c r="H12">
        <f>CONVERT(H11,"m","cm")</f>
        <v>8.6399999999999988</v>
      </c>
      <c r="I12" s="18" t="s">
        <v>13</v>
      </c>
    </row>
    <row r="13" spans="3:11" ht="16.5" x14ac:dyDescent="0.3">
      <c r="C13" s="20" t="s">
        <v>14</v>
      </c>
      <c r="D13" t="s">
        <v>15</v>
      </c>
      <c r="E13" s="2"/>
      <c r="G13" s="17" t="s">
        <v>14</v>
      </c>
      <c r="H13" t="s">
        <v>15</v>
      </c>
      <c r="I13" s="18"/>
    </row>
    <row r="14" spans="3:11" ht="16.5" x14ac:dyDescent="0.3">
      <c r="C14" s="20" t="s">
        <v>16</v>
      </c>
      <c r="D14">
        <f>ROUNDDOWN(MEDIAN(2010,1981),0)</f>
        <v>1995</v>
      </c>
      <c r="E14" s="2"/>
      <c r="G14" s="17" t="s">
        <v>16</v>
      </c>
      <c r="H14">
        <f>ROUNDDOWN(MEDIAN(2010,1981),0)</f>
        <v>1995</v>
      </c>
      <c r="I14" s="18"/>
    </row>
    <row r="15" spans="3:11" ht="16.5" x14ac:dyDescent="0.3">
      <c r="C15" s="15" t="s">
        <v>17</v>
      </c>
      <c r="D15">
        <f>F33/D7</f>
        <v>5.6000000000000008E-3</v>
      </c>
      <c r="E15" s="2" t="s">
        <v>18</v>
      </c>
      <c r="G15" s="2" t="s">
        <v>17</v>
      </c>
      <c r="H15">
        <f>F43/H7</f>
        <v>4.7999999999999996E-3</v>
      </c>
      <c r="I15" s="18" t="s">
        <v>18</v>
      </c>
      <c r="K15" s="9" t="s">
        <v>58</v>
      </c>
    </row>
    <row r="16" spans="3:11" ht="16.5" x14ac:dyDescent="0.3">
      <c r="C16" s="15" t="s">
        <v>19</v>
      </c>
      <c r="D16">
        <f>D5-D14</f>
        <v>10</v>
      </c>
      <c r="E16" s="2" t="s">
        <v>8</v>
      </c>
      <c r="G16" s="2" t="s">
        <v>19</v>
      </c>
      <c r="H16">
        <f>H5-H14</f>
        <v>10</v>
      </c>
      <c r="I16" s="18" t="s">
        <v>8</v>
      </c>
      <c r="K16" s="41" t="s">
        <v>57</v>
      </c>
    </row>
    <row r="17" spans="2:9" ht="16.5" x14ac:dyDescent="0.3">
      <c r="C17" s="15" t="s">
        <v>20</v>
      </c>
      <c r="D17">
        <f>D16*D15</f>
        <v>5.6000000000000008E-2</v>
      </c>
      <c r="E17" s="2" t="s">
        <v>12</v>
      </c>
      <c r="G17" s="2" t="s">
        <v>20</v>
      </c>
      <c r="H17">
        <f>H16*H15</f>
        <v>4.7999999999999994E-2</v>
      </c>
      <c r="I17" s="18" t="s">
        <v>12</v>
      </c>
    </row>
    <row r="18" spans="2:9" ht="16.5" x14ac:dyDescent="0.3">
      <c r="C18" s="15" t="s">
        <v>40</v>
      </c>
      <c r="D18">
        <f>D17+D11</f>
        <v>0.15679999999999999</v>
      </c>
      <c r="E18" s="2" t="s">
        <v>12</v>
      </c>
      <c r="G18" s="2" t="s">
        <v>40</v>
      </c>
      <c r="H18">
        <f>H17+H11</f>
        <v>0.13439999999999999</v>
      </c>
      <c r="I18" s="18" t="s">
        <v>12</v>
      </c>
    </row>
    <row r="19" spans="2:9" ht="16.5" x14ac:dyDescent="0.3">
      <c r="C19" s="15"/>
      <c r="D19">
        <f>CONVERT(D18,"m","cm")</f>
        <v>15.68</v>
      </c>
      <c r="E19" s="2" t="s">
        <v>13</v>
      </c>
      <c r="G19" s="2"/>
      <c r="H19">
        <f>CONVERT(H18,"m","cm")</f>
        <v>13.44</v>
      </c>
      <c r="I19" s="18" t="s">
        <v>13</v>
      </c>
    </row>
    <row r="20" spans="2:9" ht="16.5" x14ac:dyDescent="0.3">
      <c r="C20" s="15" t="s">
        <v>21</v>
      </c>
      <c r="D20">
        <v>46.52</v>
      </c>
      <c r="E20" s="2" t="s">
        <v>13</v>
      </c>
      <c r="G20" s="2" t="s">
        <v>22</v>
      </c>
      <c r="H20">
        <v>64.06</v>
      </c>
      <c r="I20" s="18" t="s">
        <v>13</v>
      </c>
    </row>
    <row r="21" spans="2:9" ht="16.5" thickBot="1" x14ac:dyDescent="0.3">
      <c r="C21" s="23" t="s">
        <v>43</v>
      </c>
      <c r="D21" s="33">
        <f>D20-D19</f>
        <v>30.840000000000003</v>
      </c>
      <c r="E21" s="25" t="s">
        <v>13</v>
      </c>
      <c r="F21" s="34"/>
      <c r="G21" s="25" t="s">
        <v>43</v>
      </c>
      <c r="H21" s="33">
        <f>H20-H19</f>
        <v>50.620000000000005</v>
      </c>
      <c r="I21" s="26" t="s">
        <v>13</v>
      </c>
    </row>
    <row r="22" spans="2:9" ht="16.5" thickTop="1" x14ac:dyDescent="0.25">
      <c r="C22" s="35"/>
      <c r="D22" s="36">
        <f>ROUND(D21,0)</f>
        <v>31</v>
      </c>
      <c r="E22" s="36"/>
      <c r="F22" s="36"/>
      <c r="G22" s="36"/>
      <c r="H22" s="36">
        <f>ROUND(H21,0)</f>
        <v>51</v>
      </c>
      <c r="I22" s="37"/>
    </row>
    <row r="23" spans="2:9" ht="15.75" x14ac:dyDescent="0.25">
      <c r="C23" s="34"/>
      <c r="D23" s="34">
        <f>189+D22</f>
        <v>220</v>
      </c>
      <c r="E23" s="34"/>
      <c r="F23" s="34"/>
      <c r="G23" s="34"/>
      <c r="H23" s="34">
        <f>189+H22</f>
        <v>240</v>
      </c>
      <c r="I23" s="34"/>
    </row>
    <row r="24" spans="2:9" ht="16.5" x14ac:dyDescent="0.3">
      <c r="B24" s="2" t="s">
        <v>55</v>
      </c>
      <c r="C24" s="10" t="s">
        <v>54</v>
      </c>
    </row>
    <row r="25" spans="2:9" ht="16.5" x14ac:dyDescent="0.3">
      <c r="C25" s="2" t="s">
        <v>41</v>
      </c>
      <c r="D25" s="5" t="s">
        <v>26</v>
      </c>
      <c r="E25" s="2"/>
      <c r="F25" s="2"/>
      <c r="G25" s="2"/>
    </row>
    <row r="26" spans="2:9" ht="16.5" x14ac:dyDescent="0.3">
      <c r="C26" s="2" t="s">
        <v>27</v>
      </c>
      <c r="D26" s="1" t="s">
        <v>39</v>
      </c>
      <c r="E26" s="1" t="s">
        <v>28</v>
      </c>
      <c r="F26" s="1" t="s">
        <v>29</v>
      </c>
      <c r="G26" s="1" t="s">
        <v>30</v>
      </c>
    </row>
    <row r="27" spans="2:9" ht="16.5" x14ac:dyDescent="0.3">
      <c r="C27" s="2"/>
      <c r="D27" s="2" t="s">
        <v>31</v>
      </c>
      <c r="E27" s="3">
        <v>-0.03</v>
      </c>
      <c r="F27" s="3">
        <v>0.11</v>
      </c>
      <c r="G27" s="2">
        <v>0.25</v>
      </c>
    </row>
    <row r="28" spans="2:9" ht="16.5" x14ac:dyDescent="0.3">
      <c r="C28" s="2"/>
      <c r="D28" s="2" t="s">
        <v>32</v>
      </c>
      <c r="E28" s="3">
        <v>0.01</v>
      </c>
      <c r="F28" s="3">
        <v>0.01</v>
      </c>
      <c r="G28" s="2">
        <v>0.02</v>
      </c>
    </row>
    <row r="29" spans="2:9" ht="16.5" x14ac:dyDescent="0.3">
      <c r="C29" s="2"/>
      <c r="D29" s="2" t="s">
        <v>33</v>
      </c>
      <c r="E29" s="3">
        <v>0</v>
      </c>
      <c r="F29" s="3">
        <v>0</v>
      </c>
      <c r="G29" s="3">
        <v>0</v>
      </c>
    </row>
    <row r="30" spans="2:9" ht="16.5" x14ac:dyDescent="0.3">
      <c r="C30" s="2"/>
      <c r="D30" s="2" t="s">
        <v>34</v>
      </c>
      <c r="E30" s="3">
        <v>0.01</v>
      </c>
      <c r="F30" s="3">
        <v>0.02</v>
      </c>
      <c r="G30" s="2">
        <v>0.04</v>
      </c>
    </row>
    <row r="31" spans="2:9" ht="16.5" x14ac:dyDescent="0.3">
      <c r="C31" s="2"/>
      <c r="D31" s="2" t="s">
        <v>35</v>
      </c>
      <c r="E31" s="3">
        <v>0</v>
      </c>
      <c r="F31" s="3">
        <v>0</v>
      </c>
      <c r="G31" s="3">
        <v>0.01</v>
      </c>
    </row>
    <row r="32" spans="2:9" ht="16.5" x14ac:dyDescent="0.3">
      <c r="C32" s="2"/>
      <c r="D32" s="2" t="s">
        <v>36</v>
      </c>
      <c r="E32" s="3">
        <v>-0.01</v>
      </c>
      <c r="F32" s="3">
        <v>-0.01</v>
      </c>
      <c r="G32" s="3">
        <v>0</v>
      </c>
    </row>
    <row r="33" spans="3:7" ht="16.5" x14ac:dyDescent="0.3">
      <c r="C33" s="2"/>
      <c r="D33" s="6" t="s">
        <v>37</v>
      </c>
      <c r="E33" s="7">
        <v>0</v>
      </c>
      <c r="F33" s="7">
        <v>0.14000000000000001</v>
      </c>
      <c r="G33" s="7">
        <v>0.28999999999999998</v>
      </c>
    </row>
    <row r="34" spans="3:7" ht="16.5" x14ac:dyDescent="0.3">
      <c r="C34" s="2"/>
      <c r="D34" s="2"/>
      <c r="E34" s="2"/>
      <c r="F34" s="2"/>
      <c r="G34" s="2"/>
    </row>
    <row r="35" spans="3:7" ht="16.5" x14ac:dyDescent="0.3">
      <c r="C35" s="2" t="s">
        <v>41</v>
      </c>
      <c r="D35" s="5" t="s">
        <v>38</v>
      </c>
      <c r="E35" s="2"/>
      <c r="F35" s="2"/>
      <c r="G35" s="2"/>
    </row>
    <row r="36" spans="3:7" ht="16.5" x14ac:dyDescent="0.3">
      <c r="C36" s="2" t="s">
        <v>27</v>
      </c>
      <c r="D36" s="1" t="s">
        <v>39</v>
      </c>
      <c r="E36" s="1" t="s">
        <v>28</v>
      </c>
      <c r="F36" s="1" t="s">
        <v>29</v>
      </c>
      <c r="G36" s="1" t="s">
        <v>30</v>
      </c>
    </row>
    <row r="37" spans="3:7" ht="16.5" x14ac:dyDescent="0.3">
      <c r="C37" s="2"/>
      <c r="D37" s="2" t="s">
        <v>31</v>
      </c>
      <c r="E37" s="3">
        <v>0.04</v>
      </c>
      <c r="F37" s="3">
        <v>0.09</v>
      </c>
      <c r="G37" s="3">
        <v>0.14000000000000001</v>
      </c>
    </row>
    <row r="38" spans="3:7" ht="16.5" x14ac:dyDescent="0.3">
      <c r="C38" s="2"/>
      <c r="D38" s="2" t="s">
        <v>32</v>
      </c>
      <c r="E38" s="3">
        <v>0.01</v>
      </c>
      <c r="F38" s="3">
        <v>0.01</v>
      </c>
      <c r="G38" s="3">
        <v>0.02</v>
      </c>
    </row>
    <row r="39" spans="3:7" ht="16.5" x14ac:dyDescent="0.3">
      <c r="C39" s="2"/>
      <c r="D39" s="2" t="s">
        <v>33</v>
      </c>
      <c r="E39" s="3">
        <v>0</v>
      </c>
      <c r="F39" s="3">
        <v>0</v>
      </c>
      <c r="G39" s="3">
        <v>0</v>
      </c>
    </row>
    <row r="40" spans="3:7" ht="16.5" x14ac:dyDescent="0.3">
      <c r="C40" s="2"/>
      <c r="D40" s="2" t="s">
        <v>34</v>
      </c>
      <c r="E40" s="3">
        <v>0</v>
      </c>
      <c r="F40" s="3">
        <v>0.02</v>
      </c>
      <c r="G40" s="3">
        <v>0.04</v>
      </c>
    </row>
    <row r="41" spans="3:7" ht="16.5" x14ac:dyDescent="0.3">
      <c r="C41" s="2"/>
      <c r="D41" s="2" t="s">
        <v>35</v>
      </c>
      <c r="E41" s="3">
        <v>0</v>
      </c>
      <c r="F41" s="3">
        <v>0</v>
      </c>
      <c r="G41" s="3">
        <v>0.01</v>
      </c>
    </row>
    <row r="42" spans="3:7" ht="16.5" x14ac:dyDescent="0.3">
      <c r="C42" s="2"/>
      <c r="D42" s="2" t="s">
        <v>36</v>
      </c>
      <c r="E42" s="3">
        <v>-0.01</v>
      </c>
      <c r="F42" s="3">
        <v>0</v>
      </c>
      <c r="G42" s="3">
        <v>0</v>
      </c>
    </row>
    <row r="43" spans="3:7" ht="16.5" x14ac:dyDescent="0.3">
      <c r="C43" s="2"/>
      <c r="D43" s="6" t="s">
        <v>37</v>
      </c>
      <c r="E43" s="6">
        <v>7.0000000000000007E-2</v>
      </c>
      <c r="F43" s="7">
        <v>0.12</v>
      </c>
      <c r="G43" s="6">
        <v>0.18</v>
      </c>
    </row>
  </sheetData>
  <hyperlinks>
    <hyperlink ref="C24" r:id="rId1" display="https://zenodo.org/records/6382554" xr:uid="{35717A54-C9BC-451F-8846-EAAB0B1635BA}"/>
    <hyperlink ref="K15" r:id="rId2" display="https://www.dmi.dk/fileadmin/Rapporter/2024/DMI_rapport_24_12.pdf" xr:uid="{9862E42E-83B1-4053-809F-FFEB603622C8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E589-D20C-4654-8C91-E2E056B72CC7}">
  <dimension ref="B4:K44"/>
  <sheetViews>
    <sheetView topLeftCell="B10" workbookViewId="0">
      <selection activeCell="I34" sqref="I34"/>
    </sheetView>
  </sheetViews>
  <sheetFormatPr defaultRowHeight="14.25" x14ac:dyDescent="0.2"/>
  <cols>
    <col min="2" max="2" width="16.5" bestFit="1" customWidth="1"/>
    <col min="3" max="3" width="35.875" bestFit="1" customWidth="1"/>
    <col min="4" max="4" width="23.125" bestFit="1" customWidth="1"/>
    <col min="5" max="5" width="15.625" bestFit="1" customWidth="1"/>
    <col min="6" max="6" width="8.75" bestFit="1" customWidth="1"/>
    <col min="7" max="7" width="35.875" bestFit="1" customWidth="1"/>
    <col min="8" max="8" width="9.5" bestFit="1" customWidth="1"/>
    <col min="9" max="9" width="6.875" bestFit="1" customWidth="1"/>
  </cols>
  <sheetData>
    <row r="4" spans="3:9" ht="16.5" x14ac:dyDescent="0.3">
      <c r="C4" s="11" t="s">
        <v>44</v>
      </c>
      <c r="D4" s="31"/>
      <c r="E4" s="12" t="s">
        <v>1</v>
      </c>
      <c r="F4" s="31"/>
      <c r="G4" s="13" t="s">
        <v>45</v>
      </c>
      <c r="H4" s="31"/>
      <c r="I4" s="14" t="s">
        <v>1</v>
      </c>
    </row>
    <row r="5" spans="3:9" ht="16.5" x14ac:dyDescent="0.3">
      <c r="C5" s="15" t="s">
        <v>3</v>
      </c>
      <c r="D5" t="s">
        <v>4</v>
      </c>
      <c r="E5" s="17"/>
      <c r="G5" s="2" t="s">
        <v>3</v>
      </c>
      <c r="H5" t="s">
        <v>4</v>
      </c>
      <c r="I5" s="32"/>
    </row>
    <row r="6" spans="3:9" ht="16.5" x14ac:dyDescent="0.3">
      <c r="C6" s="15" t="s">
        <v>5</v>
      </c>
      <c r="D6">
        <f>ROUNDUP(MEDIAN(2014,1995),0)</f>
        <v>2005</v>
      </c>
      <c r="E6" s="17"/>
      <c r="G6" s="2" t="s">
        <v>5</v>
      </c>
      <c r="H6">
        <f>ROUNDUP(MEDIAN(2014,1995),0)</f>
        <v>2005</v>
      </c>
      <c r="I6" s="32"/>
    </row>
    <row r="7" spans="3:9" ht="16.5" x14ac:dyDescent="0.3">
      <c r="C7" s="15" t="s">
        <v>6</v>
      </c>
      <c r="D7">
        <v>2030</v>
      </c>
      <c r="E7" s="2"/>
      <c r="G7" s="2" t="s">
        <v>6</v>
      </c>
      <c r="H7">
        <v>2030</v>
      </c>
      <c r="I7" s="18"/>
    </row>
    <row r="8" spans="3:9" ht="16.5" x14ac:dyDescent="0.3">
      <c r="C8" s="15" t="s">
        <v>7</v>
      </c>
      <c r="D8">
        <f>D7-D6</f>
        <v>25</v>
      </c>
      <c r="E8" s="2" t="s">
        <v>8</v>
      </c>
      <c r="G8" s="2" t="s">
        <v>7</v>
      </c>
      <c r="H8">
        <f>H7-H6</f>
        <v>25</v>
      </c>
      <c r="I8" s="18" t="s">
        <v>8</v>
      </c>
    </row>
    <row r="9" spans="3:9" ht="16.5" x14ac:dyDescent="0.3">
      <c r="C9" s="15" t="s">
        <v>9</v>
      </c>
      <c r="D9">
        <v>2023</v>
      </c>
      <c r="E9" s="2"/>
      <c r="G9" s="2" t="s">
        <v>9</v>
      </c>
      <c r="H9">
        <v>2023</v>
      </c>
      <c r="I9" s="18"/>
    </row>
    <row r="10" spans="3:9" ht="16.5" x14ac:dyDescent="0.3">
      <c r="C10" s="15" t="s">
        <v>10</v>
      </c>
      <c r="D10">
        <f>D9-D6</f>
        <v>18</v>
      </c>
      <c r="E10" s="2" t="s">
        <v>8</v>
      </c>
      <c r="G10" s="2" t="s">
        <v>10</v>
      </c>
      <c r="H10">
        <f>H9-H6</f>
        <v>18</v>
      </c>
      <c r="I10" s="18" t="s">
        <v>8</v>
      </c>
    </row>
    <row r="11" spans="3:9" ht="16.5" x14ac:dyDescent="0.3">
      <c r="C11" s="15" t="s">
        <v>11</v>
      </c>
      <c r="D11">
        <f>D10/D8</f>
        <v>0.72</v>
      </c>
      <c r="E11" s="2"/>
      <c r="G11" s="2" t="s">
        <v>11</v>
      </c>
      <c r="H11">
        <f>H10/H8</f>
        <v>0.72</v>
      </c>
      <c r="I11" s="18"/>
    </row>
    <row r="12" spans="3:9" ht="16.5" x14ac:dyDescent="0.3">
      <c r="C12" s="15" t="s">
        <v>56</v>
      </c>
      <c r="D12">
        <f>D11*F34</f>
        <v>9.3600000000000003E-2</v>
      </c>
      <c r="E12" s="2" t="s">
        <v>12</v>
      </c>
      <c r="G12" s="2" t="s">
        <v>56</v>
      </c>
      <c r="H12">
        <f>H11*F44</f>
        <v>8.6399999999999991E-2</v>
      </c>
      <c r="I12" s="18" t="s">
        <v>12</v>
      </c>
    </row>
    <row r="13" spans="3:9" ht="16.5" x14ac:dyDescent="0.3">
      <c r="C13" s="15"/>
      <c r="D13">
        <f>CONVERT(D12,"m","cm")</f>
        <v>9.36</v>
      </c>
      <c r="E13" s="2" t="s">
        <v>13</v>
      </c>
      <c r="G13" s="2"/>
      <c r="H13">
        <f>CONVERT(H12,"m","cm")</f>
        <v>8.6399999999999988</v>
      </c>
      <c r="I13" s="18" t="s">
        <v>13</v>
      </c>
    </row>
    <row r="14" spans="3:9" ht="16.5" x14ac:dyDescent="0.3">
      <c r="C14" s="20" t="s">
        <v>14</v>
      </c>
      <c r="D14" t="s">
        <v>15</v>
      </c>
      <c r="E14" s="2"/>
      <c r="G14" s="17" t="s">
        <v>14</v>
      </c>
      <c r="H14" t="s">
        <v>15</v>
      </c>
      <c r="I14" s="18"/>
    </row>
    <row r="15" spans="3:9" ht="16.5" x14ac:dyDescent="0.3">
      <c r="C15" s="20" t="s">
        <v>16</v>
      </c>
      <c r="D15">
        <f>ROUNDDOWN(MEDIAN(2010,1981),0)</f>
        <v>1995</v>
      </c>
      <c r="E15" s="2"/>
      <c r="G15" s="17" t="s">
        <v>16</v>
      </c>
      <c r="H15">
        <f>ROUNDDOWN(MEDIAN(2010,1981),0)</f>
        <v>1995</v>
      </c>
      <c r="I15" s="18"/>
    </row>
    <row r="16" spans="3:9" ht="16.5" x14ac:dyDescent="0.3">
      <c r="C16" s="15" t="s">
        <v>17</v>
      </c>
      <c r="D16">
        <f>F34/D8</f>
        <v>5.1999999999999998E-3</v>
      </c>
      <c r="E16" s="2" t="s">
        <v>18</v>
      </c>
      <c r="G16" s="2" t="s">
        <v>17</v>
      </c>
      <c r="H16">
        <f>F44/H8</f>
        <v>4.7999999999999996E-3</v>
      </c>
      <c r="I16" s="18" t="s">
        <v>18</v>
      </c>
    </row>
    <row r="17" spans="2:11" ht="16.5" x14ac:dyDescent="0.3">
      <c r="C17" s="15" t="s">
        <v>19</v>
      </c>
      <c r="D17">
        <f>D6-D15</f>
        <v>10</v>
      </c>
      <c r="E17" s="2" t="s">
        <v>8</v>
      </c>
      <c r="G17" s="2" t="s">
        <v>19</v>
      </c>
      <c r="H17">
        <f>H6-H15</f>
        <v>10</v>
      </c>
      <c r="I17" s="18" t="s">
        <v>8</v>
      </c>
      <c r="K17" s="9" t="s">
        <v>58</v>
      </c>
    </row>
    <row r="18" spans="2:11" ht="16.5" x14ac:dyDescent="0.3">
      <c r="C18" s="15" t="s">
        <v>20</v>
      </c>
      <c r="D18">
        <f>D17*D16</f>
        <v>5.1999999999999998E-2</v>
      </c>
      <c r="E18" s="2" t="s">
        <v>12</v>
      </c>
      <c r="G18" s="2" t="s">
        <v>20</v>
      </c>
      <c r="H18">
        <f>H17*H16</f>
        <v>4.7999999999999994E-2</v>
      </c>
      <c r="I18" s="18" t="s">
        <v>12</v>
      </c>
      <c r="K18" s="41" t="s">
        <v>57</v>
      </c>
    </row>
    <row r="19" spans="2:11" ht="16.5" x14ac:dyDescent="0.3">
      <c r="C19" s="15" t="s">
        <v>40</v>
      </c>
      <c r="D19">
        <f>D18+D12</f>
        <v>0.14560000000000001</v>
      </c>
      <c r="E19" s="2" t="s">
        <v>12</v>
      </c>
      <c r="G19" s="2" t="s">
        <v>40</v>
      </c>
      <c r="H19">
        <f>H18+H12</f>
        <v>0.13439999999999999</v>
      </c>
      <c r="I19" s="18" t="s">
        <v>12</v>
      </c>
    </row>
    <row r="20" spans="2:11" ht="16.5" x14ac:dyDescent="0.3">
      <c r="C20" s="15"/>
      <c r="D20">
        <f>CONVERT(D19,"m","cm")</f>
        <v>14.56</v>
      </c>
      <c r="E20" s="2" t="s">
        <v>13</v>
      </c>
      <c r="G20" s="2"/>
      <c r="H20">
        <f>CONVERT(H19,"m","cm")</f>
        <v>13.44</v>
      </c>
      <c r="I20" s="18" t="s">
        <v>13</v>
      </c>
    </row>
    <row r="21" spans="2:11" ht="16.5" x14ac:dyDescent="0.3">
      <c r="C21" s="15" t="s">
        <v>21</v>
      </c>
      <c r="D21">
        <v>44.62</v>
      </c>
      <c r="E21" s="2" t="s">
        <v>13</v>
      </c>
      <c r="G21" s="2" t="s">
        <v>22</v>
      </c>
      <c r="H21">
        <v>62.18</v>
      </c>
      <c r="I21" s="18" t="s">
        <v>13</v>
      </c>
    </row>
    <row r="22" spans="2:11" ht="16.5" thickBot="1" x14ac:dyDescent="0.3">
      <c r="C22" s="23" t="s">
        <v>43</v>
      </c>
      <c r="D22" s="33">
        <f>D21-D20</f>
        <v>30.059999999999995</v>
      </c>
      <c r="E22" s="25" t="s">
        <v>13</v>
      </c>
      <c r="F22" s="34"/>
      <c r="G22" s="25" t="s">
        <v>43</v>
      </c>
      <c r="H22" s="33">
        <f>H21-H20</f>
        <v>48.74</v>
      </c>
      <c r="I22" s="26" t="s">
        <v>13</v>
      </c>
    </row>
    <row r="23" spans="2:11" ht="18" thickTop="1" x14ac:dyDescent="0.3">
      <c r="C23" s="35"/>
      <c r="D23" s="36">
        <f>ROUND(D22,0)</f>
        <v>30</v>
      </c>
      <c r="E23" s="38" t="s">
        <v>13</v>
      </c>
      <c r="F23" s="36"/>
      <c r="G23" s="36"/>
      <c r="H23" s="36">
        <f>ROUND(H22,0)</f>
        <v>49</v>
      </c>
      <c r="I23" s="39" t="s">
        <v>13</v>
      </c>
    </row>
    <row r="24" spans="2:11" ht="17.25" x14ac:dyDescent="0.3">
      <c r="C24" s="34"/>
      <c r="D24" s="34">
        <f>210+D23</f>
        <v>240</v>
      </c>
      <c r="E24" s="40"/>
      <c r="F24" s="34"/>
      <c r="G24" s="34"/>
      <c r="H24" s="34">
        <f>210+H23</f>
        <v>259</v>
      </c>
      <c r="I24" s="40"/>
    </row>
    <row r="25" spans="2:11" ht="16.5" x14ac:dyDescent="0.3">
      <c r="B25" s="2" t="s">
        <v>55</v>
      </c>
      <c r="C25" s="10" t="s">
        <v>54</v>
      </c>
    </row>
    <row r="26" spans="2:11" ht="16.5" x14ac:dyDescent="0.3">
      <c r="C26" s="2" t="s">
        <v>49</v>
      </c>
      <c r="D26" s="5" t="s">
        <v>26</v>
      </c>
      <c r="E26" s="2"/>
      <c r="F26" s="2"/>
      <c r="G26" s="2"/>
    </row>
    <row r="27" spans="2:11" ht="16.5" x14ac:dyDescent="0.3">
      <c r="C27" s="2" t="s">
        <v>27</v>
      </c>
      <c r="D27" s="1" t="s">
        <v>39</v>
      </c>
      <c r="E27" s="1" t="s">
        <v>28</v>
      </c>
      <c r="F27" s="1" t="s">
        <v>29</v>
      </c>
      <c r="G27" s="1" t="s">
        <v>30</v>
      </c>
    </row>
    <row r="28" spans="2:11" ht="16.5" x14ac:dyDescent="0.3">
      <c r="C28" s="2"/>
      <c r="D28" s="2" t="s">
        <v>31</v>
      </c>
      <c r="E28" s="3">
        <v>0.04</v>
      </c>
      <c r="F28" s="3">
        <v>0.09</v>
      </c>
      <c r="G28" s="2">
        <v>0.15</v>
      </c>
    </row>
    <row r="29" spans="2:11" ht="16.5" x14ac:dyDescent="0.3">
      <c r="C29" s="2"/>
      <c r="D29" s="2" t="s">
        <v>32</v>
      </c>
      <c r="E29" s="3">
        <v>0.01</v>
      </c>
      <c r="F29" s="3">
        <v>0.01</v>
      </c>
      <c r="G29" s="2">
        <v>0.02</v>
      </c>
    </row>
    <row r="30" spans="2:11" ht="16.5" x14ac:dyDescent="0.3">
      <c r="C30" s="2"/>
      <c r="D30" s="2" t="s">
        <v>33</v>
      </c>
      <c r="E30" s="3">
        <v>0</v>
      </c>
      <c r="F30" s="3">
        <v>0</v>
      </c>
      <c r="G30" s="3">
        <v>0</v>
      </c>
    </row>
    <row r="31" spans="2:11" ht="16.5" x14ac:dyDescent="0.3">
      <c r="C31" s="2"/>
      <c r="D31" s="2" t="s">
        <v>34</v>
      </c>
      <c r="E31" s="3">
        <v>0.01</v>
      </c>
      <c r="F31" s="3">
        <v>0.02</v>
      </c>
      <c r="G31" s="2">
        <v>0.04</v>
      </c>
    </row>
    <row r="32" spans="2:11" ht="16.5" x14ac:dyDescent="0.3">
      <c r="C32" s="2"/>
      <c r="D32" s="2" t="s">
        <v>35</v>
      </c>
      <c r="E32" s="3">
        <v>0</v>
      </c>
      <c r="F32" s="3">
        <v>0</v>
      </c>
      <c r="G32" s="3">
        <v>0.01</v>
      </c>
    </row>
    <row r="33" spans="3:7" ht="16.5" x14ac:dyDescent="0.3">
      <c r="C33" s="2"/>
      <c r="D33" s="2" t="s">
        <v>36</v>
      </c>
      <c r="E33" s="3">
        <v>-0.01</v>
      </c>
      <c r="F33" s="3">
        <v>-0.01</v>
      </c>
      <c r="G33" s="3">
        <v>0</v>
      </c>
    </row>
    <row r="34" spans="3:7" ht="16.5" x14ac:dyDescent="0.3">
      <c r="C34" s="2"/>
      <c r="D34" s="6" t="s">
        <v>37</v>
      </c>
      <c r="E34" s="7">
        <v>0.06</v>
      </c>
      <c r="F34" s="7">
        <v>0.13</v>
      </c>
      <c r="G34" s="7">
        <v>0.19</v>
      </c>
    </row>
    <row r="35" spans="3:7" ht="16.5" x14ac:dyDescent="0.3">
      <c r="C35" s="2"/>
      <c r="D35" s="2"/>
      <c r="E35" s="2"/>
      <c r="F35" s="2"/>
      <c r="G35" s="2"/>
    </row>
    <row r="36" spans="3:7" ht="16.5" x14ac:dyDescent="0.3">
      <c r="C36" s="2" t="s">
        <v>49</v>
      </c>
      <c r="D36" s="5" t="s">
        <v>38</v>
      </c>
      <c r="E36" s="2"/>
      <c r="F36" s="2"/>
      <c r="G36" s="2"/>
    </row>
    <row r="37" spans="3:7" ht="16.5" x14ac:dyDescent="0.3">
      <c r="C37" s="2" t="s">
        <v>27</v>
      </c>
      <c r="D37" s="1" t="s">
        <v>39</v>
      </c>
      <c r="E37" s="1" t="s">
        <v>28</v>
      </c>
      <c r="F37" s="1" t="s">
        <v>29</v>
      </c>
      <c r="G37" s="1" t="s">
        <v>30</v>
      </c>
    </row>
    <row r="38" spans="3:7" ht="16.5" x14ac:dyDescent="0.3">
      <c r="C38" s="2"/>
      <c r="D38" s="2" t="s">
        <v>31</v>
      </c>
      <c r="E38" s="3">
        <v>0.04</v>
      </c>
      <c r="F38" s="3">
        <v>0.09</v>
      </c>
      <c r="G38" s="3">
        <v>0.14000000000000001</v>
      </c>
    </row>
    <row r="39" spans="3:7" ht="16.5" x14ac:dyDescent="0.3">
      <c r="C39" s="2"/>
      <c r="D39" s="2" t="s">
        <v>32</v>
      </c>
      <c r="E39" s="3">
        <v>0.01</v>
      </c>
      <c r="F39" s="3">
        <v>0.01</v>
      </c>
      <c r="G39" s="3">
        <v>0.02</v>
      </c>
    </row>
    <row r="40" spans="3:7" ht="16.5" x14ac:dyDescent="0.3">
      <c r="C40" s="2"/>
      <c r="D40" s="2" t="s">
        <v>33</v>
      </c>
      <c r="E40" s="3">
        <v>0</v>
      </c>
      <c r="F40" s="3">
        <v>0</v>
      </c>
      <c r="G40" s="3">
        <v>0</v>
      </c>
    </row>
    <row r="41" spans="3:7" ht="16.5" x14ac:dyDescent="0.3">
      <c r="C41" s="2"/>
      <c r="D41" s="2" t="s">
        <v>34</v>
      </c>
      <c r="E41" s="3">
        <v>0.01</v>
      </c>
      <c r="F41" s="3">
        <v>0.02</v>
      </c>
      <c r="G41" s="3">
        <v>0.04</v>
      </c>
    </row>
    <row r="42" spans="3:7" ht="16.5" x14ac:dyDescent="0.3">
      <c r="C42" s="2"/>
      <c r="D42" s="2" t="s">
        <v>35</v>
      </c>
      <c r="E42" s="3">
        <v>0</v>
      </c>
      <c r="F42" s="3">
        <v>0</v>
      </c>
      <c r="G42" s="3">
        <v>0.01</v>
      </c>
    </row>
    <row r="43" spans="3:7" ht="16.5" x14ac:dyDescent="0.3">
      <c r="C43" s="2"/>
      <c r="D43" s="2" t="s">
        <v>36</v>
      </c>
      <c r="E43" s="3">
        <v>-0.01</v>
      </c>
      <c r="F43" s="3">
        <v>0</v>
      </c>
      <c r="G43" s="3">
        <v>0</v>
      </c>
    </row>
    <row r="44" spans="3:7" ht="16.5" x14ac:dyDescent="0.3">
      <c r="C44" s="2"/>
      <c r="D44" s="6" t="s">
        <v>37</v>
      </c>
      <c r="E44" s="6">
        <v>7.0000000000000007E-2</v>
      </c>
      <c r="F44" s="7">
        <v>0.12</v>
      </c>
      <c r="G44" s="6">
        <v>0.18</v>
      </c>
    </row>
  </sheetData>
  <hyperlinks>
    <hyperlink ref="C25" r:id="rId1" display="https://zenodo.org/records/6382554" xr:uid="{BFB35512-67D4-4BBC-9A8B-385E782F346D}"/>
    <hyperlink ref="K17" r:id="rId2" display="https://www.dmi.dk/fileadmin/Rapporter/2024/DMI_rapport_24_12.pdf" xr:uid="{A7B2B120-3E1E-43CF-8BB2-30CA7EE19CA3}"/>
  </hyperlinks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2209-E668-4279-A1CC-05AFD3A749C7}">
  <dimension ref="B4:L44"/>
  <sheetViews>
    <sheetView tabSelected="1" topLeftCell="B15" zoomScaleNormal="100" workbookViewId="0">
      <selection activeCell="I37" sqref="I37"/>
    </sheetView>
  </sheetViews>
  <sheetFormatPr defaultRowHeight="14.25" x14ac:dyDescent="0.2"/>
  <cols>
    <col min="2" max="2" width="16.5" bestFit="1" customWidth="1"/>
    <col min="3" max="3" width="35.875" bestFit="1" customWidth="1"/>
    <col min="4" max="4" width="23.125" bestFit="1" customWidth="1"/>
    <col min="5" max="5" width="15.625" bestFit="1" customWidth="1"/>
    <col min="6" max="6" width="8.75" bestFit="1" customWidth="1"/>
    <col min="7" max="7" width="35.875" bestFit="1" customWidth="1"/>
    <col min="8" max="8" width="9.5" bestFit="1" customWidth="1"/>
    <col min="9" max="9" width="6.875" bestFit="1" customWidth="1"/>
    <col min="12" max="12" width="9.25" bestFit="1" customWidth="1"/>
  </cols>
  <sheetData>
    <row r="4" spans="3:9" ht="16.5" x14ac:dyDescent="0.3">
      <c r="C4" s="11" t="s">
        <v>47</v>
      </c>
      <c r="D4" s="31"/>
      <c r="E4" s="12" t="s">
        <v>1</v>
      </c>
      <c r="F4" s="31"/>
      <c r="G4" s="13" t="s">
        <v>48</v>
      </c>
      <c r="H4" s="31"/>
      <c r="I4" s="14" t="s">
        <v>1</v>
      </c>
    </row>
    <row r="5" spans="3:9" ht="16.5" x14ac:dyDescent="0.3">
      <c r="C5" s="15" t="s">
        <v>3</v>
      </c>
      <c r="D5" t="s">
        <v>4</v>
      </c>
      <c r="E5" s="17"/>
      <c r="G5" s="2" t="s">
        <v>3</v>
      </c>
      <c r="H5" t="s">
        <v>4</v>
      </c>
      <c r="I5" s="32"/>
    </row>
    <row r="6" spans="3:9" ht="16.5" x14ac:dyDescent="0.3">
      <c r="C6" s="15" t="s">
        <v>5</v>
      </c>
      <c r="D6">
        <f>ROUNDUP(MEDIAN(2014,1995),0)</f>
        <v>2005</v>
      </c>
      <c r="E6" s="17"/>
      <c r="G6" s="2" t="s">
        <v>5</v>
      </c>
      <c r="H6">
        <f>ROUNDUP(MEDIAN(2014,1995),0)</f>
        <v>2005</v>
      </c>
      <c r="I6" s="32"/>
    </row>
    <row r="7" spans="3:9" ht="16.5" x14ac:dyDescent="0.3">
      <c r="C7" s="15" t="s">
        <v>6</v>
      </c>
      <c r="D7">
        <v>2030</v>
      </c>
      <c r="E7" s="2"/>
      <c r="G7" s="2" t="s">
        <v>6</v>
      </c>
      <c r="H7">
        <v>2030</v>
      </c>
      <c r="I7" s="18"/>
    </row>
    <row r="8" spans="3:9" ht="16.5" x14ac:dyDescent="0.3">
      <c r="C8" s="15" t="s">
        <v>7</v>
      </c>
      <c r="D8">
        <f>D7-D6</f>
        <v>25</v>
      </c>
      <c r="E8" s="2" t="s">
        <v>8</v>
      </c>
      <c r="G8" s="2" t="s">
        <v>7</v>
      </c>
      <c r="H8">
        <f>H7-H6</f>
        <v>25</v>
      </c>
      <c r="I8" s="18" t="s">
        <v>8</v>
      </c>
    </row>
    <row r="9" spans="3:9" ht="16.5" x14ac:dyDescent="0.3">
      <c r="C9" s="15" t="s">
        <v>9</v>
      </c>
      <c r="D9">
        <v>2023</v>
      </c>
      <c r="E9" s="2"/>
      <c r="G9" s="2" t="s">
        <v>9</v>
      </c>
      <c r="H9">
        <v>2023</v>
      </c>
      <c r="I9" s="18"/>
    </row>
    <row r="10" spans="3:9" ht="16.5" x14ac:dyDescent="0.3">
      <c r="C10" s="15" t="s">
        <v>10</v>
      </c>
      <c r="D10">
        <f>D9-D6</f>
        <v>18</v>
      </c>
      <c r="E10" s="2" t="s">
        <v>8</v>
      </c>
      <c r="G10" s="2" t="s">
        <v>10</v>
      </c>
      <c r="H10">
        <f>H9-H6</f>
        <v>18</v>
      </c>
      <c r="I10" s="18" t="s">
        <v>8</v>
      </c>
    </row>
    <row r="11" spans="3:9" ht="16.5" x14ac:dyDescent="0.3">
      <c r="C11" s="15" t="s">
        <v>11</v>
      </c>
      <c r="D11">
        <f>D10/D8</f>
        <v>0.72</v>
      </c>
      <c r="E11" s="2"/>
      <c r="G11" s="2" t="s">
        <v>11</v>
      </c>
      <c r="H11">
        <f>H10/H8</f>
        <v>0.72</v>
      </c>
      <c r="I11" s="18"/>
    </row>
    <row r="12" spans="3:9" ht="16.5" x14ac:dyDescent="0.3">
      <c r="C12" s="15" t="s">
        <v>56</v>
      </c>
      <c r="D12">
        <f>D11*F34</f>
        <v>7.9199999999999993E-2</v>
      </c>
      <c r="E12" s="2" t="s">
        <v>12</v>
      </c>
      <c r="G12" s="2" t="s">
        <v>56</v>
      </c>
      <c r="H12">
        <f>H11*F44</f>
        <v>8.6399999999999991E-2</v>
      </c>
      <c r="I12" s="18" t="s">
        <v>12</v>
      </c>
    </row>
    <row r="13" spans="3:9" ht="16.5" x14ac:dyDescent="0.3">
      <c r="C13" s="15"/>
      <c r="D13">
        <f>CONVERT(D12,"m","cm")</f>
        <v>7.919999999999999</v>
      </c>
      <c r="E13" s="2" t="s">
        <v>13</v>
      </c>
      <c r="G13" s="2"/>
      <c r="H13">
        <f>CONVERT(H12,"m","cm")</f>
        <v>8.6399999999999988</v>
      </c>
      <c r="I13" s="18" t="s">
        <v>13</v>
      </c>
    </row>
    <row r="14" spans="3:9" ht="16.5" x14ac:dyDescent="0.3">
      <c r="C14" s="20" t="s">
        <v>14</v>
      </c>
      <c r="D14" t="s">
        <v>15</v>
      </c>
      <c r="E14" s="2"/>
      <c r="G14" s="17" t="s">
        <v>14</v>
      </c>
      <c r="H14" t="s">
        <v>15</v>
      </c>
      <c r="I14" s="18"/>
    </row>
    <row r="15" spans="3:9" ht="16.5" x14ac:dyDescent="0.3">
      <c r="C15" s="20" t="s">
        <v>16</v>
      </c>
      <c r="D15">
        <f>ROUNDDOWN(MEDIAN(2010,1981),0)</f>
        <v>1995</v>
      </c>
      <c r="E15" s="2"/>
      <c r="G15" s="17" t="s">
        <v>16</v>
      </c>
      <c r="H15">
        <f>ROUNDDOWN(MEDIAN(2010,1981),0)</f>
        <v>1995</v>
      </c>
      <c r="I15" s="18"/>
    </row>
    <row r="16" spans="3:9" ht="16.5" x14ac:dyDescent="0.3">
      <c r="C16" s="15" t="s">
        <v>17</v>
      </c>
      <c r="D16">
        <f>F34/D8</f>
        <v>4.4000000000000003E-3</v>
      </c>
      <c r="E16" s="2" t="s">
        <v>18</v>
      </c>
      <c r="G16" s="2" t="s">
        <v>17</v>
      </c>
      <c r="H16">
        <f>F44/H8</f>
        <v>4.7999999999999996E-3</v>
      </c>
      <c r="I16" s="18" t="s">
        <v>18</v>
      </c>
    </row>
    <row r="17" spans="2:11" ht="16.5" x14ac:dyDescent="0.3">
      <c r="C17" s="15" t="s">
        <v>19</v>
      </c>
      <c r="D17">
        <f>D6-D15</f>
        <v>10</v>
      </c>
      <c r="E17" s="2" t="s">
        <v>8</v>
      </c>
      <c r="G17" s="2" t="s">
        <v>19</v>
      </c>
      <c r="H17">
        <f>H6-H15</f>
        <v>10</v>
      </c>
      <c r="I17" s="18" t="s">
        <v>8</v>
      </c>
      <c r="K17" s="9" t="s">
        <v>58</v>
      </c>
    </row>
    <row r="18" spans="2:11" ht="16.5" x14ac:dyDescent="0.3">
      <c r="C18" s="15" t="s">
        <v>20</v>
      </c>
      <c r="D18">
        <f>D17*D16</f>
        <v>4.4000000000000004E-2</v>
      </c>
      <c r="E18" s="2" t="s">
        <v>12</v>
      </c>
      <c r="G18" s="2" t="s">
        <v>20</v>
      </c>
      <c r="H18">
        <f>H17*H16</f>
        <v>4.7999999999999994E-2</v>
      </c>
      <c r="I18" s="18" t="s">
        <v>12</v>
      </c>
      <c r="K18" s="41" t="s">
        <v>57</v>
      </c>
    </row>
    <row r="19" spans="2:11" ht="16.5" x14ac:dyDescent="0.3">
      <c r="C19" s="15" t="s">
        <v>40</v>
      </c>
      <c r="D19">
        <f>D18+D12</f>
        <v>0.1232</v>
      </c>
      <c r="E19" s="2" t="s">
        <v>12</v>
      </c>
      <c r="G19" s="2" t="s">
        <v>40</v>
      </c>
      <c r="H19">
        <f>H18+H12</f>
        <v>0.13439999999999999</v>
      </c>
      <c r="I19" s="18" t="s">
        <v>12</v>
      </c>
    </row>
    <row r="20" spans="2:11" ht="16.5" x14ac:dyDescent="0.3">
      <c r="C20" s="15"/>
      <c r="D20">
        <f>CONVERT(D19,"m","cm")</f>
        <v>12.32</v>
      </c>
      <c r="E20" s="2" t="s">
        <v>13</v>
      </c>
      <c r="G20" s="2"/>
      <c r="H20">
        <f>CONVERT(H19,"m","cm")</f>
        <v>13.44</v>
      </c>
      <c r="I20" s="18" t="s">
        <v>13</v>
      </c>
    </row>
    <row r="21" spans="2:11" ht="16.5" x14ac:dyDescent="0.3">
      <c r="C21" s="15" t="s">
        <v>21</v>
      </c>
      <c r="D21">
        <v>42.28</v>
      </c>
      <c r="E21" s="2" t="s">
        <v>13</v>
      </c>
      <c r="G21" s="2" t="s">
        <v>22</v>
      </c>
      <c r="H21">
        <v>59.58</v>
      </c>
      <c r="I21" s="18" t="s">
        <v>13</v>
      </c>
    </row>
    <row r="22" spans="2:11" ht="16.5" thickBot="1" x14ac:dyDescent="0.3">
      <c r="C22" s="23" t="s">
        <v>43</v>
      </c>
      <c r="D22" s="33">
        <f>D21-D20</f>
        <v>29.96</v>
      </c>
      <c r="E22" s="25" t="s">
        <v>13</v>
      </c>
      <c r="F22" s="34"/>
      <c r="G22" s="25" t="s">
        <v>43</v>
      </c>
      <c r="H22" s="33">
        <f>H21-H20</f>
        <v>46.14</v>
      </c>
      <c r="I22" s="26" t="s">
        <v>13</v>
      </c>
    </row>
    <row r="23" spans="2:11" ht="18" thickTop="1" x14ac:dyDescent="0.3">
      <c r="C23" s="35"/>
      <c r="D23" s="36">
        <f>ROUND(D22,0)</f>
        <v>30</v>
      </c>
      <c r="E23" s="38" t="s">
        <v>13</v>
      </c>
      <c r="F23" s="36"/>
      <c r="G23" s="36"/>
      <c r="H23" s="36">
        <f>ROUND(H22,0)</f>
        <v>46</v>
      </c>
      <c r="I23" s="39" t="s">
        <v>13</v>
      </c>
    </row>
    <row r="24" spans="2:11" ht="16.5" x14ac:dyDescent="0.3">
      <c r="B24" s="2"/>
      <c r="C24" s="10"/>
      <c r="D24">
        <f>200+D23</f>
        <v>230</v>
      </c>
      <c r="H24">
        <f>200+H23</f>
        <v>246</v>
      </c>
    </row>
    <row r="25" spans="2:11" ht="16.5" x14ac:dyDescent="0.3">
      <c r="B25" s="2" t="s">
        <v>55</v>
      </c>
      <c r="C25" s="10" t="s">
        <v>54</v>
      </c>
    </row>
    <row r="26" spans="2:11" ht="16.5" x14ac:dyDescent="0.3">
      <c r="C26" s="2" t="s">
        <v>46</v>
      </c>
      <c r="D26" s="5" t="s">
        <v>26</v>
      </c>
      <c r="E26" s="2"/>
      <c r="F26" s="2"/>
      <c r="G26" s="2"/>
    </row>
    <row r="27" spans="2:11" ht="16.5" x14ac:dyDescent="0.3">
      <c r="C27" s="2" t="s">
        <v>27</v>
      </c>
      <c r="D27" s="1" t="s">
        <v>39</v>
      </c>
      <c r="E27" s="1" t="s">
        <v>28</v>
      </c>
      <c r="F27" s="1" t="s">
        <v>29</v>
      </c>
      <c r="G27" s="1" t="s">
        <v>30</v>
      </c>
      <c r="I27" s="1"/>
    </row>
    <row r="28" spans="2:11" ht="16.5" x14ac:dyDescent="0.3">
      <c r="C28" s="2"/>
      <c r="D28" s="2" t="s">
        <v>31</v>
      </c>
      <c r="E28" s="3">
        <v>0.04</v>
      </c>
      <c r="F28" s="3">
        <v>0.09</v>
      </c>
      <c r="G28" s="2">
        <v>0.15</v>
      </c>
    </row>
    <row r="29" spans="2:11" ht="16.5" x14ac:dyDescent="0.3">
      <c r="C29" s="2"/>
      <c r="D29" s="2" t="s">
        <v>32</v>
      </c>
      <c r="E29" s="3">
        <v>0.01</v>
      </c>
      <c r="F29" s="3">
        <v>0.01</v>
      </c>
      <c r="G29" s="2">
        <v>0.02</v>
      </c>
    </row>
    <row r="30" spans="2:11" ht="16.5" x14ac:dyDescent="0.3">
      <c r="C30" s="2"/>
      <c r="D30" s="2" t="s">
        <v>33</v>
      </c>
      <c r="E30" s="3">
        <v>0</v>
      </c>
      <c r="F30" s="3">
        <v>0</v>
      </c>
      <c r="G30" s="3">
        <v>0</v>
      </c>
    </row>
    <row r="31" spans="2:11" ht="16.5" x14ac:dyDescent="0.3">
      <c r="C31" s="2"/>
      <c r="D31" s="2" t="s">
        <v>34</v>
      </c>
      <c r="E31" s="3">
        <v>0.01</v>
      </c>
      <c r="F31" s="3">
        <v>0.02</v>
      </c>
      <c r="G31" s="2">
        <v>0.04</v>
      </c>
      <c r="I31" s="1"/>
      <c r="K31" s="1"/>
    </row>
    <row r="32" spans="2:11" ht="16.5" x14ac:dyDescent="0.3">
      <c r="C32" s="2"/>
      <c r="D32" s="2" t="s">
        <v>35</v>
      </c>
      <c r="E32" s="3">
        <v>0</v>
      </c>
      <c r="F32" s="3">
        <v>0</v>
      </c>
      <c r="G32" s="3">
        <v>0.01</v>
      </c>
    </row>
    <row r="33" spans="3:12" ht="16.5" x14ac:dyDescent="0.3">
      <c r="C33" s="2"/>
      <c r="D33" s="2" t="s">
        <v>36</v>
      </c>
      <c r="E33" s="3">
        <v>-0.02</v>
      </c>
      <c r="F33" s="3">
        <v>-0.02</v>
      </c>
      <c r="G33" s="3">
        <v>-0.02</v>
      </c>
    </row>
    <row r="34" spans="3:12" ht="16.5" x14ac:dyDescent="0.3">
      <c r="C34" s="2"/>
      <c r="D34" s="6" t="s">
        <v>37</v>
      </c>
      <c r="E34" s="7">
        <v>0.04</v>
      </c>
      <c r="F34" s="7">
        <v>0.11</v>
      </c>
      <c r="G34" s="7">
        <v>0.18</v>
      </c>
    </row>
    <row r="35" spans="3:12" ht="16.5" x14ac:dyDescent="0.3">
      <c r="C35" s="2"/>
      <c r="D35" s="2"/>
      <c r="E35" s="2"/>
      <c r="F35" s="2"/>
      <c r="G35" s="2"/>
    </row>
    <row r="36" spans="3:12" ht="16.5" x14ac:dyDescent="0.3">
      <c r="C36" s="2" t="s">
        <v>46</v>
      </c>
      <c r="D36" s="5" t="s">
        <v>38</v>
      </c>
      <c r="E36" s="2"/>
      <c r="F36" s="2"/>
      <c r="G36" s="2"/>
    </row>
    <row r="37" spans="3:12" ht="16.5" x14ac:dyDescent="0.3">
      <c r="C37" s="2" t="s">
        <v>27</v>
      </c>
      <c r="D37" s="1" t="s">
        <v>39</v>
      </c>
      <c r="E37" s="1" t="s">
        <v>28</v>
      </c>
      <c r="F37" s="1" t="s">
        <v>29</v>
      </c>
      <c r="G37" s="1" t="s">
        <v>30</v>
      </c>
    </row>
    <row r="38" spans="3:12" ht="16.5" x14ac:dyDescent="0.3">
      <c r="C38" s="2"/>
      <c r="D38" s="2" t="s">
        <v>31</v>
      </c>
      <c r="E38" s="3">
        <v>0.04</v>
      </c>
      <c r="F38" s="3">
        <v>0.09</v>
      </c>
      <c r="G38" s="3">
        <v>0.14000000000000001</v>
      </c>
    </row>
    <row r="39" spans="3:12" ht="16.5" x14ac:dyDescent="0.3">
      <c r="C39" s="2"/>
      <c r="D39" s="2" t="s">
        <v>32</v>
      </c>
      <c r="E39" s="3">
        <v>0.01</v>
      </c>
      <c r="F39" s="3">
        <v>0.01</v>
      </c>
      <c r="G39" s="3">
        <v>0.02</v>
      </c>
    </row>
    <row r="40" spans="3:12" ht="16.5" x14ac:dyDescent="0.3">
      <c r="C40" s="2"/>
      <c r="D40" s="2" t="s">
        <v>33</v>
      </c>
      <c r="E40" s="3">
        <v>0</v>
      </c>
      <c r="F40" s="3">
        <v>0</v>
      </c>
      <c r="G40" s="3">
        <v>0</v>
      </c>
    </row>
    <row r="41" spans="3:12" ht="16.5" x14ac:dyDescent="0.3">
      <c r="C41" s="2"/>
      <c r="D41" s="2" t="s">
        <v>34</v>
      </c>
      <c r="E41" s="3">
        <v>0</v>
      </c>
      <c r="F41" s="3">
        <v>0.02</v>
      </c>
      <c r="G41" s="3">
        <v>0.04</v>
      </c>
    </row>
    <row r="42" spans="3:12" ht="16.5" x14ac:dyDescent="0.3">
      <c r="C42" s="2"/>
      <c r="D42" s="2" t="s">
        <v>35</v>
      </c>
      <c r="E42" s="3">
        <v>0</v>
      </c>
      <c r="F42" s="3">
        <v>0</v>
      </c>
      <c r="G42" s="3">
        <v>0.01</v>
      </c>
      <c r="L42" s="8"/>
    </row>
    <row r="43" spans="3:12" ht="16.5" x14ac:dyDescent="0.3">
      <c r="C43" s="2"/>
      <c r="D43" s="2" t="s">
        <v>36</v>
      </c>
      <c r="E43" s="3">
        <v>-0.01</v>
      </c>
      <c r="F43" s="3">
        <v>0</v>
      </c>
      <c r="G43" s="3">
        <v>0</v>
      </c>
    </row>
    <row r="44" spans="3:12" ht="16.5" x14ac:dyDescent="0.3">
      <c r="C44" s="2"/>
      <c r="D44" s="6" t="s">
        <v>37</v>
      </c>
      <c r="E44" s="6">
        <v>0.05</v>
      </c>
      <c r="F44" s="7">
        <v>0.12</v>
      </c>
      <c r="G44" s="6">
        <v>0.17</v>
      </c>
    </row>
  </sheetData>
  <hyperlinks>
    <hyperlink ref="C25" r:id="rId1" display="https://zenodo.org/records/6382554" xr:uid="{50C31D70-A3A4-49EA-89AE-D5C386DDFE44}"/>
    <hyperlink ref="K17" r:id="rId2" display="https://www.dmi.dk/fileadmin/Rapporter/2024/DMI_rapport_24_12.pdf" xr:uid="{DEFAAA16-F3F5-44EF-B8D9-A1CBEDF60B5A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aabenraa</vt:lpstr>
      <vt:lpstr>gedser</vt:lpstr>
      <vt:lpstr>hesnæs</vt:lpstr>
      <vt:lpstr>præstø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Kjær</dc:creator>
  <cp:lastModifiedBy>Johan Kjær</cp:lastModifiedBy>
  <dcterms:created xsi:type="dcterms:W3CDTF">2025-04-10T13:19:01Z</dcterms:created>
  <dcterms:modified xsi:type="dcterms:W3CDTF">2025-05-27T14:02:33Z</dcterms:modified>
</cp:coreProperties>
</file>